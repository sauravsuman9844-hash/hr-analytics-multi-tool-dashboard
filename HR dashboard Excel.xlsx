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F4CCF4AA-6E00-4649-9560-5D3C75DF36D9}" xr6:coauthVersionLast="47" xr6:coauthVersionMax="47" xr10:uidLastSave="{00000000-0000-0000-0000-000000000000}"/>
  <bookViews>
    <workbookView xWindow="-108" yWindow="-108" windowWidth="23256" windowHeight="12456" firstSheet="6" activeTab="10" xr2:uid="{00000000-000D-0000-FFFF-FFFF00000000}"/>
  </bookViews>
  <sheets>
    <sheet name="KPI" sheetId="7" r:id="rId1"/>
    <sheet name="Rating" sheetId="8" r:id="rId2"/>
    <sheet name="Gender" sheetId="9" r:id="rId3"/>
    <sheet name="Education by Attrition" sheetId="10" r:id="rId4"/>
    <sheet name="Attrition by Job" sheetId="11" r:id="rId5"/>
    <sheet name="Department wise Attrition" sheetId="12" r:id="rId6"/>
    <sheet name="Attrition by Age group" sheetId="14" r:id="rId7"/>
    <sheet name="Maratial status" sheetId="15" r:id="rId8"/>
    <sheet name="Data" sheetId="1" r:id="rId9"/>
    <sheet name="Images" sheetId="2" r:id="rId10"/>
    <sheet name="Background 2" sheetId="4" r:id="rId11"/>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2" hidden="1">'Maratial status'!$D$4:$D$6</definedName>
    <definedName name="_xlchart.v2.3" hidden="1">'Maratial status'!$E$3</definedName>
    <definedName name="_xlchart.v2.4" hidden="1">'Maratial status'!$E$4:$E$6</definedName>
    <definedName name="_xlchart.v2.5" hidden="1">'Maratial status'!$D$4:$D$6</definedName>
    <definedName name="_xlchart.v2.6" hidden="1">'Maratial status'!$E$3</definedName>
    <definedName name="_xlchart.v2.7" hidden="1">'Maratial status'!$E$4:$E$6</definedName>
    <definedName name="Slicer_Department">#N/A</definedName>
    <definedName name="Slicer_Education_Field2">#N/A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0W7NtiAel2xy0cZdwUBcRsMoEuXg6pzXui43o1bypBA="/>
    </ext>
  </extLst>
</workbook>
</file>

<file path=xl/calcChain.xml><?xml version="1.0" encoding="utf-8"?>
<calcChain xmlns="http://schemas.openxmlformats.org/spreadsheetml/2006/main">
  <c r="D6" i="15" l="1"/>
  <c r="D5" i="15"/>
  <c r="D4" i="15"/>
  <c r="D5" i="11"/>
  <c r="D6" i="11"/>
  <c r="D7" i="11"/>
  <c r="D8" i="11"/>
  <c r="D9" i="11"/>
  <c r="D10" i="11"/>
  <c r="D11" i="11"/>
  <c r="D12" i="11"/>
  <c r="D4" i="11"/>
  <c r="A8" i="7"/>
  <c r="C8" i="7"/>
  <c r="B8" i="7"/>
  <c r="B7" i="8"/>
  <c r="E5" i="15"/>
  <c r="E6" i="15"/>
  <c r="E4" i="15"/>
  <c r="B9" i="9"/>
  <c r="B10" i="9"/>
  <c r="E5" i="11"/>
  <c r="E9" i="11"/>
  <c r="E11" i="11"/>
  <c r="E6" i="11"/>
  <c r="E7" i="11"/>
  <c r="E8" i="11"/>
  <c r="E10" i="11"/>
  <c r="E12" i="11"/>
  <c r="E4" i="11"/>
  <c r="E8" i="7" l="1"/>
  <c r="D8" i="7"/>
  <c r="C9" i="9"/>
  <c r="C10" i="9"/>
  <c r="C7" i="8"/>
  <c r="B8" i="8"/>
  <c r="C8" i="8" s="1"/>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<sst xmlns="http://schemas.openxmlformats.org/spreadsheetml/2006/main" count="19216" uniqueCount="1571">
  <si>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</si>
  <si>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</si>
  <si>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</si>
  <si>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</si>
  <si>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</si>
  <si>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</si>
  <si>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</si>
  <si>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</si>
  <si>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</si>
  <si>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</si>
  <si>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</si>
  <si>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</si>
  <si>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</si>
  <si>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</si>
  <si>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</si>
  <si>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</si>
  <si>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</si>
  <si>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</si>
  <si>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</si>
  <si>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</si>
  <si>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</si>
  <si>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</si>
  <si>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</si>
  <si>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</si>
  <si>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</si>
  <si>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</si>
  <si>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</si>
  <si>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</si>
  <si>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</si>
  <si>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</si>
  <si>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</si>
  <si>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</si>
  <si>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</si>
  <si>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</si>
  <si>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</si>
  <si>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</si>
  <si>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</si>
  <si>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</si>
  <si>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</si>
  <si>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</si>
  <si>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</si>
  <si>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</si>
  <si>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</si>
  <si>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</si>
  <si>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</si>
  <si>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</si>
  <si>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</si>
  <si>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</si>
  <si>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</si>
  <si>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</si>
  <si>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</si>
  <si>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</si>
  <si>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</si>
  <si>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</si>
  <si>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</si>
  <si>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</si>
  <si>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</si>
  <si>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</si>
  <si>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</si>
  <si>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</si>
  <si>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</si>
  <si>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</si>
  <si>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</si>
  <si>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</si>
  <si>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</si>
  <si>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</si>
  <si>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</si>
  <si>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</si>
  <si>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</si>
  <si>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</si>
  <si>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</si>
  <si>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</si>
  <si>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</si>
  <si>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</si>
  <si>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</si>
  <si>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</si>
  <si>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</si>
  <si>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</si>
  <si>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</si>
  <si>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</si>
  <si>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</si>
  <si>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</si>
  <si>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</si>
  <si>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</si>
  <si>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</si>
  <si>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</si>
  <si>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</si>
  <si>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</si>
  <si>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</si>
  <si>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</si>
  <si>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</si>
  <si>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</si>
  <si>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</si>
  <si>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</si>
  <si>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</si>
  <si>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</si>
  <si>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</si>
  <si>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</si>
  <si>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</si>
  <si>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</si>
  <si>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</si>
  <si>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</si>
  <si>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</si>
  <si>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</si>
  <si>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</si>
  <si>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</si>
  <si>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</si>
  <si>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</si>
  <si>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</si>
  <si>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</si>
  <si>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</si>
  <si>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</si>
  <si>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</si>
  <si>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</si>
  <si>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</si>
  <si>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</si>
  <si>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</si>
  <si>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</si>
  <si>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</si>
  <si>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</si>
  <si>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</si>
  <si>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</si>
  <si>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</si>
  <si>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</si>
  <si>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</si>
  <si>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</si>
  <si>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</si>
  <si>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</si>
  <si>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</si>
  <si>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</si>
  <si>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</si>
  <si>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</si>
  <si>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</si>
  <si>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</si>
  <si>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</si>
  <si>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</si>
  <si>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</si>
  <si>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</si>
  <si>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</si>
  <si>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</si>
  <si>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</si>
  <si>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</si>
  <si>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</si>
  <si>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</si>
  <si>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</si>
  <si>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</si>
  <si>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</si>
  <si>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</si>
  <si>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</si>
  <si>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</si>
  <si>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</si>
  <si>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</si>
  <si>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</si>
  <si>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</si>
  <si>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</si>
  <si>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</si>
  <si>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</si>
  <si>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</si>
  <si>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</si>
  <si>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</si>
  <si>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</si>
  <si>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</si>
  <si>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</si>
  <si>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</si>
  <si>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</si>
  <si>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</si>
  <si>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</si>
  <si>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</si>
  <si>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</si>
  <si>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</si>
  <si>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</si>
  <si>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</si>
  <si>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</si>
  <si>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</si>
  <si>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</si>
  <si>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</si>
  <si>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</si>
  <si>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</si>
  <si>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</si>
  <si>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</si>
  <si>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</si>
  <si>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</si>
  <si>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</si>
  <si>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</si>
  <si>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</si>
  <si>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</si>
  <si>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</si>
  <si>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</si>
  <si>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</si>
  <si>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</si>
  <si>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</si>
  <si>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</si>
  <si>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</si>
  <si>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</si>
  <si>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</si>
  <si>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</si>
  <si>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</si>
  <si>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</si>
  <si>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</si>
  <si>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</si>
  <si>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</si>
  <si>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</si>
  <si>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</si>
  <si>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</si>
  <si>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</si>
  <si>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</si>
  <si>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</si>
  <si>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</si>
  <si>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</si>
  <si>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</si>
  <si>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</si>
  <si>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</si>
  <si>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</si>
  <si>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</si>
  <si>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</si>
  <si>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</si>
  <si>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</si>
  <si>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</si>
  <si>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</si>
  <si>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</si>
  <si>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</si>
  <si>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</si>
  <si>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</si>
  <si>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</si>
  <si>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</si>
  <si>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</si>
  <si>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</si>
  <si>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</si>
  <si>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</si>
  <si>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</si>
  <si>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</si>
  <si>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</si>
  <si>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</si>
  <si>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</si>
  <si>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</si>
  <si>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</si>
  <si>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</si>
  <si>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</si>
  <si>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</si>
  <si>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</si>
  <si>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</si>
  <si>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</si>
  <si>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</si>
  <si>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</si>
  <si>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</si>
  <si>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</si>
  <si>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</si>
  <si>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</si>
  <si>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</si>
  <si>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</si>
  <si>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</si>
  <si>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</si>
  <si>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</si>
  <si>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</si>
  <si>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</si>
  <si>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</si>
  <si>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</si>
  <si>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</si>
  <si>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</si>
  <si>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</si>
  <si>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</si>
  <si>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</si>
  <si>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</si>
  <si>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</si>
  <si>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</si>
  <si>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</si>
  <si>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</si>
  <si>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</si>
  <si>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</si>
  <si>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</si>
  <si>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</si>
  <si>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</si>
  <si>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</si>
  <si>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</si>
  <si>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</si>
  <si>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</si>
  <si>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</si>
  <si>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</si>
  <si>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</si>
  <si>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</si>
  <si>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</si>
  <si>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</si>
  <si>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</si>
  <si>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</si>
  <si>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</si>
  <si>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</si>
  <si>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</si>
  <si>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</si>
  <si>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</si>
  <si>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</si>
  <si>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</si>
  <si>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</si>
  <si>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</si>
  <si>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</si>
  <si>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</si>
  <si>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</si>
  <si>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</si>
  <si>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</si>
  <si>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</si>
  <si>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</si>
  <si>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</si>
  <si>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</si>
  <si>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</si>
  <si>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</si>
  <si>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</si>
  <si>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</si>
  <si>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</si>
  <si>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</si>
  <si>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</si>
  <si>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</si>
  <si>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</si>
  <si>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</si>
  <si>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</si>
  <si>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</si>
  <si>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</si>
  <si>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</si>
  <si>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</si>
  <si>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</si>
  <si>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</si>
  <si>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</si>
  <si>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</si>
  <si>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</si>
  <si>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</si>
  <si>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</si>
  <si>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</si>
  <si>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</si>
  <si>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</si>
  <si>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</si>
  <si>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</si>
  <si>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</si>
  <si>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</si>
  <si>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</si>
  <si>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</si>
  <si>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</si>
  <si>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</si>
  <si>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</si>
  <si>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</si>
  <si>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</si>
  <si>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</si>
  <si>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</si>
  <si>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</si>
  <si>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</si>
  <si>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</si>
  <si>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</si>
  <si>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</si>
  <si>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</si>
  <si>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</si>
  <si>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</si>
  <si>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</si>
  <si>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</si>
  <si>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</si>
  <si>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</si>
  <si>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</si>
  <si>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</si>
  <si>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</si>
  <si>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</si>
  <si>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</si>
  <si>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</si>
  <si>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</si>
  <si>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</si>
  <si>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</si>
  <si>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</si>
  <si>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</si>
  <si>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</si>
  <si>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</si>
  <si>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</si>
  <si>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</si>
  <si>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</si>
  <si>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</si>
  <si>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</si>
  <si>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</si>
  <si>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</si>
  <si>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</si>
  <si>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</si>
  <si>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</si>
  <si>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</si>
  <si>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</si>
  <si>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</si>
  <si>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</si>
  <si>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</si>
  <si>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</si>
  <si>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</si>
  <si>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</si>
  <si>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</si>
  <si>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</si>
  <si>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</si>
  <si>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</si>
  <si>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</si>
  <si>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</si>
  <si>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</si>
  <si>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</si>
  <si>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</si>
  <si>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</si>
  <si>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</si>
  <si>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</si>
  <si>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</si>
  <si>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</si>
  <si>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</si>
  <si>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</si>
  <si>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</si>
  <si>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</si>
  <si>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</si>
  <si>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</si>
  <si>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</si>
  <si>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</si>
  <si>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</si>
  <si>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</si>
  <si>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</si>
  <si>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</si>
  <si>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</si>
  <si>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</si>
  <si>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</si>
  <si>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</si>
  <si>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</si>
  <si>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</si>
  <si>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</si>
  <si>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</si>
  <si>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</si>
  <si>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</si>
  <si>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</si>
  <si>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</si>
  <si>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</si>
  <si>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</si>
  <si>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</si>
  <si>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</si>
  <si>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</si>
  <si>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</si>
  <si>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</si>
  <si>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</si>
  <si>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</si>
  <si>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</si>
  <si>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</si>
  <si>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</si>
  <si>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</si>
  <si>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</si>
  <si>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</si>
  <si>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</si>
  <si>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</si>
  <si>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</si>
  <si>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</si>
  <si>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</si>
  <si>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</si>
  <si>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</si>
  <si>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</si>
  <si>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</si>
  <si>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</si>
  <si>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</si>
  <si>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</si>
  <si>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</si>
  <si>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</si>
  <si>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</si>
  <si>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</si>
  <si>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</si>
  <si>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</si>
  <si>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</si>
  <si>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</si>
  <si>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</si>
  <si>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</si>
  <si>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</si>
  <si>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</si>
  <si>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</si>
  <si>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</si>
  <si>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</si>
  <si>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</si>
  <si>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</si>
  <si>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</si>
  <si>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</si>
  <si>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</si>
  <si>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</si>
  <si>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</si>
  <si>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</si>
  <si>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</si>
  <si>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</si>
  <si>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</si>
  <si>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</si>
  <si>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</si>
  <si>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</si>
  <si>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</si>
  <si>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</si>
  <si>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</si>
  <si>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</si>
  <si>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</si>
  <si>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</si>
  <si>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</si>
  <si>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</si>
  <si>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</si>
  <si>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</si>
  <si>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</si>
  <si>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</si>
  <si>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</si>
  <si>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</si>
  <si>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</si>
  <si>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</si>
  <si>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</si>
  <si>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</si>
  <si>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</si>
  <si>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</si>
  <si>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</si>
  <si>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</si>
  <si>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</si>
  <si>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</si>
  <si>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</si>
  <si>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</si>
  <si>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</si>
  <si>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</si>
  <si>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</si>
  <si>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</si>
  <si>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</si>
  <si>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</si>
  <si>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</si>
  <si>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</si>
  <si>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</si>
  <si>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</si>
  <si>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</si>
  <si>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</si>
  <si>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</si>
  <si>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</si>
  <si>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</si>
  <si>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</si>
  <si>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</si>
  <si>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</si>
  <si>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</si>
  <si>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</si>
  <si>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</si>
  <si>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</si>
  <si>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</si>
  <si>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</si>
  <si>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</si>
  <si>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</si>
  <si>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</si>
  <si>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</si>
  <si>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</si>
  <si>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</si>
  <si>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</si>
  <si>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</si>
  <si>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</si>
  <si>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</si>
  <si>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</si>
  <si>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</si>
  <si>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</si>
  <si>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</si>
  <si>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</si>
  <si>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</si>
  <si>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</si>
  <si>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</si>
  <si>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</si>
  <si>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</si>
  <si>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</si>
  <si>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</si>
  <si>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</si>
  <si>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</si>
  <si>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</si>
  <si>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</si>
  <si>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</si>
  <si>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</si>
  <si>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</si>
  <si>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</si>
  <si>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</si>
  <si>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</si>
  <si>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</si>
  <si>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</si>
  <si>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</si>
  <si>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</si>
  <si>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</si>
  <si>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</si>
  <si>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</si>
  <si>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</si>
  <si>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</si>
  <si>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</si>
  <si>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</si>
  <si>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</si>
  <si>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</si>
  <si>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</si>
  <si>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</si>
  <si>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</si>
  <si>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</si>
  <si>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</si>
  <si>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</si>
  <si>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</si>
  <si>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</si>
  <si>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</si>
  <si>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</si>
  <si>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</si>
  <si>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</si>
  <si>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</si>
  <si>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</si>
  <si>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</si>
  <si>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</si>
  <si>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</si>
  <si>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</si>
  <si>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</si>
  <si>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</si>
  <si>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</si>
  <si>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</si>
  <si>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</si>
  <si>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</si>
  <si>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</si>
  <si>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</si>
  <si>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</si>
  <si>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</si>
  <si>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</si>
  <si>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</si>
  <si>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</si>
  <si>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</si>
  <si>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</si>
  <si>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</si>
  <si>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</si>
  <si>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</si>
  <si>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</si>
  <si>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</si>
  <si>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</si>
  <si>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</si>
  <si>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</si>
  <si>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</si>
  <si>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</si>
  <si>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</si>
  <si>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</si>
  <si>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</si>
  <si>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</si>
  <si>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</si>
  <si>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</si>
  <si>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</si>
  <si>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</si>
  <si>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</si>
  <si>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</si>
  <si>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</si>
  <si>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</si>
  <si>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</si>
  <si>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</si>
  <si>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</si>
  <si>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</si>
  <si>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</si>
  <si>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</si>
  <si>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</si>
  <si>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</si>
  <si>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</si>
  <si>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</si>
  <si>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</si>
  <si>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</si>
  <si>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</si>
  <si>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</si>
  <si>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</si>
  <si>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</si>
  <si>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</si>
  <si>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</si>
  <si>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</si>
  <si>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</si>
  <si>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</si>
  <si>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</si>
  <si>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</si>
  <si>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</si>
  <si>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</si>
  <si>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</si>
  <si>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</si>
  <si>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</si>
  <si>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</si>
  <si>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</si>
  <si>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</si>
  <si>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</si>
  <si>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</si>
  <si>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</si>
  <si>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</si>
  <si>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</si>
  <si>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</si>
  <si>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</si>
  <si>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</si>
  <si>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</si>
  <si>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</si>
  <si>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</si>
  <si>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</si>
  <si>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</si>
  <si>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</si>
  <si>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</si>
  <si>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</si>
  <si>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</si>
  <si>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</si>
  <si>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</si>
  <si>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</si>
  <si>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</si>
  <si>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</si>
  <si>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</si>
  <si>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</si>
  <si>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</si>
  <si>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</si>
  <si>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</si>
  <si>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</si>
  <si>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</si>
  <si>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</si>
  <si>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</si>
  <si>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</si>
  <si>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</si>
  <si>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</si>
  <si>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</si>
  <si>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</si>
  <si>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</si>
  <si>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</si>
  <si>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</si>
  <si>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</si>
  <si>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</si>
  <si>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</si>
  <si>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</si>
  <si>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</si>
  <si>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</si>
  <si>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</si>
  <si>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</si>
  <si>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</si>
  <si>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</si>
  <si>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</si>
  <si>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</si>
  <si>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</si>
  <si>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</si>
  <si>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</si>
  <si>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</si>
  <si>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</si>
  <si>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</si>
  <si>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</si>
  <si>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</si>
  <si>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</si>
  <si>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</si>
  <si>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</si>
  <si>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</si>
  <si>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</si>
  <si>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</si>
  <si>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</si>
  <si>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</si>
  <si>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</si>
  <si>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</si>
  <si>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</si>
  <si>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</si>
  <si>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</si>
  <si>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</si>
  <si>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</si>
  <si>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</si>
  <si>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</si>
  <si>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</si>
  <si>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</si>
  <si>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</si>
  <si>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</si>
  <si>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</si>
  <si>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</si>
  <si>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</si>
  <si>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</si>
  <si>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</si>
  <si>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</si>
  <si>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</si>
  <si>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</si>
  <si>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</si>
  <si>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</si>
  <si>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</si>
  <si>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</si>
  <si>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</si>
  <si>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</si>
  <si>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</si>
  <si>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</si>
  <si>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</si>
  <si>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</si>
  <si>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</si>
  <si>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</si>
  <si>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</si>
  <si>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</si>
  <si>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</si>
  <si>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</si>
  <si>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</si>
  <si>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</si>
  <si>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</si>
  <si>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</si>
  <si>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</si>
  <si>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</si>
  <si>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</si>
  <si>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</si>
  <si>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</si>
  <si>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</si>
  <si>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</si>
  <si>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</si>
  <si>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</si>
  <si>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</si>
  <si>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</si>
  <si>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</si>
  <si>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</si>
  <si>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</si>
  <si>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</si>
  <si>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</si>
  <si>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</si>
  <si>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</si>
  <si>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</si>
  <si>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</si>
  <si>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</si>
  <si>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</si>
  <si>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</si>
  <si>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</si>
  <si>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</si>
  <si>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</si>
  <si>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</si>
  <si>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</si>
  <si>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</si>
  <si>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</si>
  <si>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</si>
  <si>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</si>
  <si>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</si>
  <si>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</si>
  <si>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</si>
  <si>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</si>
  <si>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</si>
  <si>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</si>
  <si>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</si>
  <si>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</si>
  <si>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</si>
  <si>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</si>
  <si>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</si>
  <si>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</si>
  <si>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</si>
  <si>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</si>
  <si>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</si>
  <si>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</si>
  <si>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</si>
  <si>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</si>
  <si>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</si>
  <si>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</si>
  <si>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</si>
  <si>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</si>
  <si>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</si>
  <si>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</si>
  <si>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</si>
  <si>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</si>
  <si>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</si>
  <si>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</si>
  <si>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</si>
  <si>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</si>
  <si>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</si>
  <si>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</si>
  <si>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</si>
  <si>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</si>
  <si>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</si>
  <si>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</si>
  <si>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</si>
  <si>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</si>
  <si>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</si>
  <si>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</si>
  <si>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</si>
  <si>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</si>
  <si>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</si>
  <si>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</si>
  <si>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</si>
  <si>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</si>
  <si>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</si>
  <si>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</si>
  <si>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</si>
  <si>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</si>
  <si>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</si>
  <si>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</si>
  <si>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</si>
  <si>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</si>
  <si>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</si>
  <si>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</si>
  <si>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</si>
  <si>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</si>
  <si>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</si>
  <si>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</si>
  <si>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</si>
  <si>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</si>
  <si>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</si>
  <si>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</si>
  <si>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</si>
  <si>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</si>
  <si>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</si>
  <si>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</si>
  <si>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</si>
  <si>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</si>
  <si>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</si>
  <si>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</si>
  <si>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</si>
  <si>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</si>
  <si>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</si>
  <si>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</si>
  <si>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</si>
  <si>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</si>
  <si>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</si>
  <si>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</si>
  <si>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</si>
  <si>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</si>
  <si>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</si>
  <si>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</si>
  <si>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</si>
  <si>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</si>
  <si>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</si>
  <si>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</si>
  <si>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</si>
  <si>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</si>
  <si>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</si>
  <si>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</si>
  <si>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</si>
  <si>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</si>
  <si>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</si>
  <si>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</si>
  <si>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</si>
  <si>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</si>
  <si>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</si>
  <si>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</si>
  <si>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</si>
  <si>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</si>
  <si>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</si>
  <si>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</si>
  <si>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</si>
  <si>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</si>
  <si>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</si>
  <si>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</si>
  <si>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</si>
  <si>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</si>
  <si>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</si>
  <si>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</si>
  <si>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</si>
  <si>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</si>
  <si>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</si>
  <si>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</si>
  <si>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</si>
  <si>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</si>
  <si>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</si>
  <si>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</si>
  <si>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</si>
  <si>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</si>
  <si>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</si>
  <si>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</si>
  <si>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</si>
  <si>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</si>
  <si>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</si>
  <si>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</si>
  <si>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</si>
  <si>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</si>
  <si>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</si>
  <si>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</si>
  <si>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</si>
  <si>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</si>
  <si>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</si>
  <si>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</si>
  <si>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</si>
  <si>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</si>
  <si>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</si>
  <si>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</si>
  <si>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</si>
  <si>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</si>
  <si>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</si>
  <si>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</si>
  <si>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</si>
  <si>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</si>
  <si>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</si>
  <si>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</si>
  <si>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</si>
  <si>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</si>
  <si>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</si>
  <si>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</si>
  <si>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</si>
  <si>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</si>
  <si>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</si>
  <si>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</si>
  <si>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</si>
  <si>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</si>
  <si>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</si>
  <si>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</si>
  <si>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</si>
  <si>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</si>
  <si>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</si>
  <si>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</si>
  <si>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</si>
  <si>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</si>
  <si>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</si>
  <si>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</si>
  <si>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</si>
  <si>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</si>
  <si>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</si>
  <si>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</si>
  <si>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</si>
  <si>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</si>
  <si>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</si>
  <si>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</si>
  <si>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</si>
  <si>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</si>
  <si>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</si>
  <si>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</si>
  <si>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</si>
  <si>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</si>
  <si>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</si>
  <si>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</si>
  <si>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</si>
  <si>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</si>
  <si>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</si>
  <si>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</si>
  <si>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</si>
  <si>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</si>
  <si>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</si>
  <si>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</si>
  <si>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</si>
  <si>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</si>
  <si>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</si>
  <si>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</si>
  <si>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</si>
  <si>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</si>
  <si>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</si>
  <si>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</si>
  <si>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</si>
  <si>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</si>
  <si>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</si>
  <si>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</si>
  <si>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</si>
  <si>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</si>
  <si>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</si>
  <si>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</si>
  <si>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</si>
  <si>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</si>
  <si>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</si>
  <si>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</si>
  <si>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</si>
  <si>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</si>
  <si>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</si>
  <si>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</si>
  <si>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</si>
  <si>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</si>
  <si>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</si>
  <si>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</si>
  <si>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</si>
  <si>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</si>
  <si>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</si>
  <si>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</si>
  <si>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</si>
  <si>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</si>
  <si>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</si>
  <si>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</si>
  <si>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</si>
  <si>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</si>
  <si>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</si>
  <si>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</si>
  <si>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</si>
  <si>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</si>
  <si>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</si>
  <si>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</si>
  <si>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</si>
  <si>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</si>
  <si>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</si>
  <si>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</si>
  <si>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</si>
  <si>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</si>
  <si>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</si>
  <si>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</si>
  <si>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</si>
  <si>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</si>
  <si>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</si>
  <si>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</si>
  <si>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</si>
  <si>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</si>
  <si>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</si>
  <si>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</si>
  <si>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</si>
  <si>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</si>
  <si>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</si>
  <si>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</si>
  <si>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</si>
  <si>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</si>
  <si>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</si>
  <si>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</si>
  <si>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</si>
  <si>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</si>
  <si>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</si>
  <si>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</si>
  <si>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</si>
  <si>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</si>
  <si>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</si>
  <si>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</si>
  <si>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</si>
  <si>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</si>
  <si>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</si>
  <si>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</si>
  <si>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</si>
  <si>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</si>
  <si>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</si>
  <si>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</si>
  <si>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</si>
  <si>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</si>
  <si>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</si>
  <si>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</si>
  <si>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</si>
  <si>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</si>
  <si>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</si>
  <si>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</si>
  <si>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</si>
  <si>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</si>
  <si>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</si>
  <si>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</si>
  <si>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</si>
  <si>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</si>
  <si>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</si>
  <si>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</si>
  <si>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</si>
  <si>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</si>
  <si>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</si>
  <si>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</si>
  <si>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</si>
  <si>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</si>
  <si>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</si>
  <si>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</si>
  <si>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</si>
  <si>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</si>
  <si>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</si>
  <si>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</si>
  <si>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</si>
  <si>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</si>
  <si>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</si>
  <si>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</si>
  <si>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</si>
  <si>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</si>
  <si>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</si>
  <si>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</si>
  <si>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</si>
  <si>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</si>
  <si>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</si>
  <si>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</si>
  <si>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</si>
  <si>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</si>
  <si>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</si>
  <si>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</si>
  <si>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</si>
  <si>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</si>
  <si>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</si>
  <si>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</si>
  <si>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</si>
  <si>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</si>
  <si>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</si>
  <si>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</si>
  <si>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</si>
  <si>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</si>
  <si>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</si>
  <si>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</si>
  <si>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</si>
  <si>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</si>
  <si>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</si>
  <si>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</si>
  <si>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</si>
  <si>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</si>
  <si>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</si>
  <si>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</si>
  <si>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</si>
  <si>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</si>
  <si>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</si>
  <si>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</si>
  <si>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</si>
  <si>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</si>
  <si>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</si>
  <si>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</si>
  <si>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</si>
  <si>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</si>
  <si>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</si>
  <si>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</si>
  <si>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</si>
  <si>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</si>
  <si>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</si>
  <si>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</si>
  <si>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</si>
  <si>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</si>
  <si>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</si>
  <si>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</si>
  <si>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</si>
  <si>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</si>
  <si>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</si>
  <si>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</si>
  <si>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</si>
  <si>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</si>
  <si>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</si>
  <si>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</si>
  <si>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</si>
  <si>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</si>
  <si>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</si>
  <si>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</si>
  <si>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</si>
  <si>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</si>
  <si>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</si>
  <si>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</si>
  <si>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</si>
  <si>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</si>
  <si>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</si>
  <si>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</si>
  <si>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</si>
  <si>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</si>
  <si>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</si>
  <si>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</si>
  <si>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</si>
  <si>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</si>
  <si>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</si>
  <si>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</si>
  <si>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</si>
  <si>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</si>
  <si>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</si>
  <si>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</si>
  <si>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</si>
  <si>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</si>
  <si>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</si>
  <si>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</si>
  <si>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</si>
  <si>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</si>
  <si>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</si>
  <si>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</si>
  <si>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</si>
  <si>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</si>
  <si>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</si>
  <si>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</si>
  <si>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</si>
  <si>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</si>
  <si>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</si>
  <si>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</si>
  <si>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</si>
  <si>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</si>
  <si>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</si>
  <si>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</si>
  <si>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</si>
  <si>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</si>
  <si>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</si>
  <si>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</si>
  <si>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</si>
  <si>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</si>
  <si>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</si>
  <si>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</si>
  <si>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</si>
  <si>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</si>
  <si>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</si>
  <si>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</si>
  <si>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</si>
  <si>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</si>
  <si>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</si>
  <si>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</si>
  <si>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</si>
  <si>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</si>
  <si>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</si>
  <si>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</si>
  <si>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</si>
  <si>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</si>
  <si>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</si>
  <si>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</si>
  <si>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</si>
  <si>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</si>
  <si>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</si>
  <si>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</si>
  <si>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</si>
  <si>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</si>
  <si>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</si>
  <si>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</si>
  <si>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</si>
  <si>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</si>
  <si>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</si>
  <si>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</si>
  <si>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</si>
  <si>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</si>
  <si>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</si>
  <si>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</si>
  <si>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</si>
  <si>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</si>
  <si>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</si>
  <si>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</si>
  <si>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</si>
  <si>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</si>
  <si>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</si>
  <si>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</si>
  <si>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</si>
  <si>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</si>
  <si>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</si>
  <si>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</si>
  <si>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</si>
  <si>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</si>
  <si>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</si>
  <si>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</si>
  <si>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</si>
  <si>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</si>
  <si>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</si>
  <si>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</si>
  <si>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</si>
  <si>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</si>
  <si>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</si>
  <si>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</si>
  <si>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</si>
  <si>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</si>
  <si>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</si>
  <si>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</si>
  <si>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</si>
  <si>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</si>
  <si>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</si>
  <si>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</si>
  <si>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</si>
  <si>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</si>
  <si>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</si>
  <si>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</si>
  <si>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</si>
  <si>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</si>
  <si>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</si>
  <si>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</si>
  <si>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</si>
  <si>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</si>
  <si>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</si>
  <si>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</si>
  <si>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</si>
  <si>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</si>
  <si>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</si>
  <si>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</si>
  <si>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</si>
  <si>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</si>
  <si>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</si>
  <si>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</si>
  <si>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</si>
  <si>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</si>
  <si>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</si>
  <si>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</si>
  <si>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</si>
  <si>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</si>
  <si>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</si>
  <si>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</si>
  <si>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</si>
  <si>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</si>
  <si>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</si>
  <si>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</si>
  <si>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</si>
  <si>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</si>
  <si>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</si>
  <si>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</si>
  <si>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</si>
  <si>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</si>
  <si>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</si>
  <si>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</si>
  <si>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</si>
  <si>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</si>
  <si>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</si>
  <si>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</si>
  <si>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</si>
  <si>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</si>
  <si>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</si>
  <si>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</si>
  <si>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</si>
  <si>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</si>
  <si>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</si>
  <si>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</si>
  <si>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</si>
  <si>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</si>
  <si>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</si>
  <si>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</si>
  <si>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</si>
  <si>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</si>
  <si>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</si>
  <si>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</si>
  <si>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</si>
  <si>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</si>
  <si>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</si>
  <si>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</si>
  <si>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</si>
  <si>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</si>
  <si>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</si>
  <si>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</si>
  <si>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</si>
  <si>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</si>
  <si>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</si>
  <si>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</si>
  <si>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</si>
  <si>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</si>
  <si>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</si>
  <si>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</si>
  <si>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</si>
  <si>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</si>
  <si>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</si>
  <si>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</si>
  <si>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</si>
  <si>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</si>
  <si>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</si>
  <si>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</si>
  <si>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</si>
  <si>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</si>
  <si>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</si>
  <si>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</si>
  <si>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</si>
  <si>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</si>
  <si>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</si>
  <si>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</si>
  <si>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</si>
  <si>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</si>
  <si>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</si>
  <si>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</si>
  <si>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</si>
  <si>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</si>
  <si>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</si>
  <si>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</si>
  <si>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</si>
  <si>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</si>
  <si>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</si>
  <si>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</si>
  <si>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</si>
  <si>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</si>
  <si>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</si>
  <si>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</si>
  <si>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</si>
  <si>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</si>
  <si>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</si>
  <si>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</si>
  <si>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</si>
  <si>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</si>
  <si>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</si>
  <si>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</si>
  <si>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</si>
  <si>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</si>
  <si>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</si>
  <si>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</si>
  <si>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</si>
  <si>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</si>
  <si>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</si>
  <si>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</si>
  <si>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</si>
  <si>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</si>
  <si>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</si>
  <si>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</si>
  <si>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</si>
  <si>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</si>
  <si>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</si>
  <si>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</si>
  <si>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</si>
  <si>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</si>
  <si>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</si>
  <si>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</si>
  <si>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</si>
  <si>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</si>
  <si>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</si>
  <si>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</si>
  <si>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</si>
  <si>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</si>
  <si>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</si>
  <si>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</si>
  <si>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</si>
  <si>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</si>
  <si>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</si>
  <si>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</si>
  <si>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</si>
  <si>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</si>
  <si>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</si>
  <si>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</si>
  <si>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</si>
  <si>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</si>
  <si>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</si>
  <si>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</si>
  <si>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</si>
  <si>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</si>
  <si>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</si>
  <si>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</si>
  <si>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</si>
  <si>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</si>
  <si>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</si>
  <si>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</si>
  <si>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</si>
  <si>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</si>
  <si>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</si>
  <si>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</si>
  <si>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</si>
  <si>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</si>
  <si>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</si>
  <si>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</si>
  <si>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</si>
  <si>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</si>
  <si>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</si>
  <si>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</si>
  <si>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</si>
  <si>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</si>
  <si>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</si>
  <si>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</si>
  <si>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</si>
  <si>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</si>
  <si>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</si>
  <si>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</si>
  <si>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</si>
  <si>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</si>
  <si>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</si>
  <si>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</si>
  <si>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</si>
  <si>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</si>
  <si>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</si>
  <si>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</si>
  <si>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</si>
  <si>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</si>
  <si>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</si>
  <si>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</si>
  <si>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</si>
  <si>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</si>
  <si>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</si>
  <si>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</si>
  <si>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</si>
  <si>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</si>
  <si>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</si>
  <si>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</si>
  <si>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</si>
  <si>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</si>
  <si>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</si>
  <si>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</si>
  <si>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</si>
  <si>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</si>
  <si>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</si>
  <si>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</si>
  <si>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</si>
  <si>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</si>
  <si>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</si>
  <si>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</si>
  <si>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</si>
  <si>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</si>
  <si>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</si>
  <si>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</si>
  <si>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</si>
  <si>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</si>
  <si>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</si>
  <si>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</si>
  <si>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</si>
  <si>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</si>
  <si>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</si>
  <si>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</si>
  <si>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</si>
  <si>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</si>
  <si>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</si>
  <si>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</si>
  <si>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</si>
  <si>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</si>
  <si>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</si>
  <si>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</si>
  <si>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</si>
  <si>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</si>
  <si>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</si>
  <si>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</si>
  <si>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</si>
  <si>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</si>
  <si>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</si>
  <si>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</si>
  <si>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</si>
  <si>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</si>
  <si>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</si>
  <si>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</si>
  <si>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</si>
  <si>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</si>
  <si>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</si>
  <si>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</si>
  <si>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</si>
  <si>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</si>
  <si>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</si>
  <si>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</si>
  <si>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</si>
  <si>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</si>
  <si>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</si>
  <si>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</si>
  <si>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</si>
  <si>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</si>
  <si>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</si>
  <si>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</si>
  <si>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</si>
  <si>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</si>
  <si>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</si>
  <si>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</si>
  <si>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</si>
  <si>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</si>
  <si>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</si>
  <si>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</si>
  <si>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</si>
  <si>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</si>
  <si>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</si>
  <si>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</si>
  <si>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</si>
  <si>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</si>
  <si>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</si>
  <si>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</si>
  <si>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</si>
  <si>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</si>
  <si>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</si>
  <si>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</si>
  <si>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</si>
  <si>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</si>
  <si>
    <t>Job role</t>
  </si>
  <si>
    <t>Count of Attrition</t>
  </si>
  <si>
    <t>Maritial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</si>
</sst>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_ * #,##0_ ;_ * \-#,##0_ ;_ * &quot;-&quot;??_ ;_ @_ "/>
    <numFmt numFmtId="165" formatCode="0.0"/>
  </numFmts>
  <fonts count="4" x14ac:knownFonts="1">
    <font>
      <sz val="12"/>
      <color theme="1"/>
      <name val="Calibri"/>
      <scheme val="minor"/>
    </font>
    <font>
      <sz val="12"/>
      <color theme="1"/>
      <name val="Calibri"/>
      <scheme val="minor"/>
    </font>
    <font>
      <sz val="12"/>
      <name val="Calibri"/>
      <family val="2"/>
      <scheme val="minor"/>
    </font>
    <font>
      <sz val="12"/>
      <color theme="1"/>
      <name val="Calibri"/>
      <family val="2"/>
      <scheme val="minor"/>
    </font>
  </fonts>
  <fills count="4">
    <fill>
      <patternFill patternType="none"/>
    </fill>
    <fill>
      <patternFill patternType="gray125"/>
    </fill>
    <fill>
      <patternFill patternType="solid">
        <fgColor theme="2" tint="-4.9989318521683403E-2"/>
        <bgColor indexed="64"/>
      </patternFill>
    </fill>
    <fill>
      <patternFill patternType="solid">
        <fgColor theme="2" tint="-0.249977111117893"/>
        <bgColor indexed="64"/>
      </patternFill>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1" fillId="0" borderId="0" xfId="0" applyFont="1"/>
    <xf numFmtId="0" fontId="2" fillId="2" borderId="1" xfId="0" applyFont="1" applyFill="1" applyBorder="1"/>
    <xf numFmtId="0" fontId="3" fillId="0" borderId="0" xfId="0" applyFont="1"/>
    <xf numFmtId="0" fontId="2" fillId="2" borderId="5" xfId="0" applyFont="1" applyFill="1" applyBorder="1"/>
    <xf numFmtId="0" fontId="2" fillId="2" borderId="2" xfId="0" applyFont="1" applyFill="1" applyBorder="1"/>
    <xf numFmtId="164" fontId="0" fillId="0" borderId="0" xfId="1" applyNumberFormat="1" applyFont="1"/>
    <xf numFmtId="9" fontId="0" fillId="0" borderId="0" xfId="2" applyFont="1"/>
    <xf numFmtId="0" fontId="0" fillId="3" borderId="0" xfId="0" applyFill="1"/>
    <xf numFmtId="0" fontId="0" fillId="0" borderId="8" xfId="0" applyBorder="1"/>
    <xf numFmtId="165" fontId="0" fillId="0" borderId="9" xfId="0" applyNumberFormat="1" applyBorder="1"/>
    <xf numFmtId="165" fontId="0" fillId="0" borderId="0" xfId="0" applyNumberFormat="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3" xfId="0" applyBorder="1" applyAlignment="1">
      <alignment horizontal="left"/>
    </xf>
    <xf numFmtId="0" fontId="0" fillId="0" borderId="0" xfId="0" applyAlignment="1">
      <alignment horizontal="left"/>
    </xf>
    <xf numFmtId="0" fontId="0" fillId="0" borderId="10" xfId="0" applyBorder="1"/>
    <xf numFmtId="0" fontId="0" fillId="0" borderId="9" xfId="0" applyBorder="1"/>
    <xf numFmtId="10" fontId="0" fillId="0" borderId="8" xfId="0" applyNumberFormat="1" applyBorder="1"/>
    <xf numFmtId="10" fontId="0" fillId="0" borderId="10" xfId="0" applyNumberFormat="1" applyBorder="1"/>
    <xf numFmtId="10" fontId="0" fillId="0" borderId="9" xfId="0" applyNumberFormat="1" applyBorder="1"/>
    <xf numFmtId="0" fontId="0" fillId="0" borderId="3" xfId="0" applyBorder="1"/>
    <xf numFmtId="0" fontId="0" fillId="0" borderId="6" xfId="0" applyBorder="1"/>
    <xf numFmtId="0" fontId="0" fillId="0" borderId="4" xfId="0" applyBorder="1"/>
  </cellXfs>
  <cellStyles count="3">
    <cellStyle name="Comma" xfId="1" builtinId="3"/>
    <cellStyle name="Normal" xfId="0" builtinId="0"/>
    <cellStyle name="Percent" xfId="2" builtinId="5"/>
  </cellStyles>
  <dxfs count="10">
    <dxf>
      <numFmt numFmtId="165" formatCode="0.0"/>
    </dxf>
    <dxf>
      <font>
        <color auto="1"/>
        <family val="2"/>
      </font>
      <fill>
        <patternFill patternType="solid">
          <fgColor indexed="64"/>
          <bgColor theme="2" tint="-4.9989318521683403E-2"/>
        </patternFill>
      </fill>
    </dxf>
    <dxf>
      <font>
        <color auto="1"/>
        <family val="2"/>
      </font>
      <fill>
        <patternFill patternType="solid">
          <fgColor indexed="64"/>
          <bgColor theme="2" tint="-4.9989318521683403E-2"/>
        </patternFill>
      </fill>
    </dxf>
    <dxf>
      <fill>
        <patternFill patternType="solid">
          <bgColor theme="2" tint="-4.9989318521683403E-2"/>
        </patternFill>
      </fill>
    </dxf>
    <dxf>
      <font>
        <color auto="1"/>
      </font>
    </dxf>
    <dxf>
      <font>
        <b/>
        <family val="2"/>
      </font>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4">
    <tableStyle name="Data-style" pivot="0" count="3" xr9:uid="{00000000-0011-0000-FFFF-FFFF00000000}">
      <tableStyleElement type="headerRow" dxfId="9"/>
      <tableStyleElement type="firstRowStripe" dxfId="8"/>
      <tableStyleElement type="secondRowStripe" dxfId="7"/>
    </tableStyle>
    <tableStyle name="slicer" pivot="0" table="0" count="0" xr9:uid="{C5A1AC8B-0311-4DC3-B7D5-C3870324C670}"/>
    <tableStyle name="Slicer Style 1" pivot="0" table="0" count="4" xr9:uid="{376011AE-EFEA-4E7C-B58F-98CAA0D108B1}">
      <tableStyleElement type="wholeTable" dxfId="6"/>
    </tableStyle>
    <tableStyle name="slicersd" pivot="0" table="0" count="0" xr9:uid="{379272CF-C338-4380-9D50-CCACBD62BDBE}"/>
  </tableStyles>
  <extLst>
    <ext xmlns:x14="http://schemas.microsoft.com/office/spreadsheetml/2009/9/main" uri="{46F421CA-312F-682f-3DD2-61675219B42D}">
      <x14:dxfs count="3">
        <dxf>
          <fill>
            <gradientFill>
              <stop position="0">
                <color theme="2" tint="-0.34900967436750391"/>
              </stop>
              <stop position="1">
                <color theme="2" tint="-0.49803155613879818"/>
              </stop>
            </gradientFill>
          </fill>
        </dxf>
        <dxf>
          <font>
            <b/>
            <i val="0"/>
            <color theme="0"/>
            <name val="Calibri"/>
            <family val="2"/>
            <scheme val="minor"/>
          </font>
          <fill>
            <gradientFill>
              <stop position="0">
                <color theme="9" tint="-0.49803155613879818"/>
              </stop>
              <stop position="1">
                <color theme="9" tint="-0.25098422193060094"/>
              </stop>
            </gradientFill>
          </fill>
        </dxf>
        <dxf>
          <fill>
            <gradientFill>
              <stop position="0">
                <color theme="1" tint="5.0965910824915313E-2"/>
              </stop>
              <stop position="1">
                <color theme="1" tint="0.49803155613879818"/>
              </stop>
            </gradientFill>
          </fill>
        </dxf>
      </x14:dxfs>
    </ext>
    <ext xmlns:x14="http://schemas.microsoft.com/office/spreadsheetml/2009/9/main" uri="{EB79DEF2-80B8-43e5-95BD-54CBDDF9020C}">
      <x14:slicerStyles defaultSlicerStyle="SlicerStyleLight1">
        <x14:slicerStyle name="slicer"/>
        <x14:slicerStyle name="Slicer Style 1">
          <x14:slicerStyleElements>
            <x14:slicerStyleElement type="unselectedItemWithData" dxfId="2"/>
            <x14:slicerStyleElement type="selectedItemWithData" dxfId="1"/>
            <x14:slicerStyleElement type="selectedItemWithNoData" dxfId="0"/>
          </x14:slicerStyleElements>
        </x14:slicerStyle>
        <x14:slicerStyle name="slicersd"/>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44-42FA-9600-F111DA9C4A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44-42FA-9600-F111DA9C4A84}"/>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0ADC-4385-A32E-501AE92B10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5C4E-4111-BCB7-EE5BA8E446C2}"/>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5C4E-4111-BCB7-EE5BA8E446C2}"/>
            </c:ext>
          </c:extLst>
        </c:ser>
        <c:dLbls>
          <c:showLegendKey val="0"/>
          <c:showVal val="0"/>
          <c:showCatName val="0"/>
          <c:showSerName val="0"/>
          <c:showPercent val="0"/>
          <c:showBubbleSize val="0"/>
        </c:dLbls>
        <c:gapWidth val="0"/>
        <c:overlap val="100"/>
        <c:axId val="192823567"/>
        <c:axId val="192824047"/>
      </c:barChart>
      <c:catAx>
        <c:axId val="192823567"/>
        <c:scaling>
          <c:orientation val="minMax"/>
        </c:scaling>
        <c:delete val="1"/>
        <c:axPos val="l"/>
        <c:majorTickMark val="out"/>
        <c:minorTickMark val="none"/>
        <c:tickLblPos val="nextTo"/>
        <c:crossAx val="192824047"/>
        <c:crosses val="autoZero"/>
        <c:auto val="1"/>
        <c:lblAlgn val="ctr"/>
        <c:lblOffset val="100"/>
        <c:noMultiLvlLbl val="0"/>
      </c:catAx>
      <c:valAx>
        <c:axId val="192824047"/>
        <c:scaling>
          <c:orientation val="minMax"/>
          <c:max val="4"/>
        </c:scaling>
        <c:delete val="1"/>
        <c:axPos val="b"/>
        <c:numFmt formatCode="0.0" sourceLinked="1"/>
        <c:majorTickMark val="out"/>
        <c:minorTickMark val="none"/>
        <c:tickLblPos val="nextTo"/>
        <c:crossAx val="19282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E2-43E0-8794-76C67A2F4F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E2-43E0-8794-76C67A2F4F7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2CBB-40B4-8B45-54D8EBFFC4C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69B-44FA-8F5F-779BE00D2A52}"/>
            </c:ext>
          </c:extLst>
        </c:ser>
        <c:dLbls>
          <c:dLblPos val="outEnd"/>
          <c:showLegendKey val="0"/>
          <c:showVal val="1"/>
          <c:showCatName val="0"/>
          <c:showSerName val="0"/>
          <c:showPercent val="0"/>
          <c:showBubbleSize val="0"/>
        </c:dLbls>
        <c:gapWidth val="182"/>
        <c:axId val="358985599"/>
        <c:axId val="358986079"/>
      </c:barChart>
      <c:catAx>
        <c:axId val="358985599"/>
        <c:scaling>
          <c:orientation val="minMax"/>
        </c:scaling>
        <c:delete val="1"/>
        <c:axPos val="l"/>
        <c:numFmt formatCode="General" sourceLinked="1"/>
        <c:majorTickMark val="none"/>
        <c:minorTickMark val="none"/>
        <c:tickLblPos val="nextTo"/>
        <c:crossAx val="358986079"/>
        <c:crosses val="autoZero"/>
        <c:auto val="1"/>
        <c:lblAlgn val="ctr"/>
        <c:lblOffset val="100"/>
        <c:noMultiLvlLbl val="0"/>
      </c:catAx>
      <c:valAx>
        <c:axId val="358986079"/>
        <c:scaling>
          <c:orientation val="minMax"/>
        </c:scaling>
        <c:delete val="1"/>
        <c:axPos val="b"/>
        <c:numFmt formatCode="General" sourceLinked="1"/>
        <c:majorTickMark val="none"/>
        <c:minorTickMark val="none"/>
        <c:tickLblPos val="nextTo"/>
        <c:crossAx val="35898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Excel.xlsx]Department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6E-41F3-888A-D188D05188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6E-41F3-888A-D188D05188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6E-41F3-888A-D188D05188B4}"/>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73E1-4875-A865-C985BFB1A7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4E9-43E4-A713-D306738E6E92}"/>
            </c:ext>
          </c:extLst>
        </c:ser>
        <c:dLbls>
          <c:showLegendKey val="0"/>
          <c:showVal val="0"/>
          <c:showCatName val="0"/>
          <c:showSerName val="0"/>
          <c:showPercent val="0"/>
          <c:showBubbleSize val="0"/>
        </c:dLbls>
        <c:gapWidth val="219"/>
        <c:overlap val="-27"/>
        <c:axId val="559393663"/>
        <c:axId val="559394143"/>
      </c:barChart>
      <c:catAx>
        <c:axId val="55939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94143"/>
        <c:crosses val="autoZero"/>
        <c:auto val="1"/>
        <c:lblAlgn val="ctr"/>
        <c:lblOffset val="100"/>
        <c:noMultiLvlLbl val="0"/>
      </c:catAx>
      <c:valAx>
        <c:axId val="559394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9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368421052631582E-2"/>
          <c:y val="0.13846153846153847"/>
          <c:w val="0.74342105263157898"/>
          <c:h val="0.8615384615384615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39-44A4-AE48-CD6D5B6EF5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39-44A4-AE48-CD6D5B6EF599}"/>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F839-44A4-AE48-CD6D5B6EF59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lumMod val="50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DCE2-4FE5-9D98-88B076D9C15B}"/>
            </c:ext>
          </c:extLst>
        </c:ser>
        <c:ser>
          <c:idx val="1"/>
          <c:order val="1"/>
          <c:spPr>
            <a:no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DCE2-4FE5-9D98-88B076D9C15B}"/>
            </c:ext>
          </c:extLst>
        </c:ser>
        <c:dLbls>
          <c:showLegendKey val="0"/>
          <c:showVal val="0"/>
          <c:showCatName val="0"/>
          <c:showSerName val="0"/>
          <c:showPercent val="0"/>
          <c:showBubbleSize val="0"/>
        </c:dLbls>
        <c:gapWidth val="0"/>
        <c:overlap val="100"/>
        <c:axId val="192823567"/>
        <c:axId val="192824047"/>
      </c:barChart>
      <c:catAx>
        <c:axId val="192823567"/>
        <c:scaling>
          <c:orientation val="minMax"/>
        </c:scaling>
        <c:delete val="1"/>
        <c:axPos val="l"/>
        <c:majorTickMark val="out"/>
        <c:minorTickMark val="none"/>
        <c:tickLblPos val="nextTo"/>
        <c:crossAx val="192824047"/>
        <c:crosses val="autoZero"/>
        <c:auto val="1"/>
        <c:lblAlgn val="ctr"/>
        <c:lblOffset val="100"/>
        <c:noMultiLvlLbl val="0"/>
      </c:catAx>
      <c:valAx>
        <c:axId val="192824047"/>
        <c:scaling>
          <c:orientation val="minMax"/>
          <c:max val="4"/>
        </c:scaling>
        <c:delete val="1"/>
        <c:axPos val="b"/>
        <c:numFmt formatCode="0.0" sourceLinked="1"/>
        <c:majorTickMark val="out"/>
        <c:minorTickMark val="none"/>
        <c:tickLblPos val="nextTo"/>
        <c:crossAx val="19282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752969121140196E-3"/>
          <c:y val="0"/>
          <c:w val="0.92399049881235151"/>
          <c:h val="1"/>
        </c:manualLayout>
      </c:layout>
      <c:doughnutChart>
        <c:varyColors val="1"/>
        <c:ser>
          <c:idx val="0"/>
          <c:order val="0"/>
          <c:explosion val="2"/>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5A44-4C84-B71A-EEE9ECC53CC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A44-4C84-B71A-EEE9ECC53CC0}"/>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5A44-4C84-B71A-EEE9ECC53CC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490196078431369E-2"/>
          <c:y val="4.0817669379071345E-3"/>
          <c:w val="0.92909328473678776"/>
          <c:h val="0.99591823306209282"/>
        </c:manualLayout>
      </c:layout>
      <c:doughnutChart>
        <c:varyColors val="1"/>
        <c:ser>
          <c:idx val="0"/>
          <c:order val="0"/>
          <c:spPr>
            <a:ln>
              <a:noFill/>
            </a:ln>
          </c:spPr>
          <c:explosion val="5"/>
          <c:dPt>
            <c:idx val="0"/>
            <c:bubble3D val="0"/>
            <c:spPr>
              <a:solidFill>
                <a:schemeClr val="accent6">
                  <a:lumMod val="75000"/>
                </a:schemeClr>
              </a:solidFill>
              <a:ln w="19050">
                <a:noFill/>
              </a:ln>
              <a:effectLst/>
            </c:spPr>
            <c:extLst>
              <c:ext xmlns:c16="http://schemas.microsoft.com/office/drawing/2014/chart" uri="{C3380CC4-5D6E-409C-BE32-E72D297353CC}">
                <c16:uniqueId val="{00000001-CA6D-4FF0-A98A-D7BEA51D0F94}"/>
              </c:ext>
            </c:extLst>
          </c:dPt>
          <c:dPt>
            <c:idx val="1"/>
            <c:bubble3D val="0"/>
            <c:spPr>
              <a:solidFill>
                <a:schemeClr val="bg1">
                  <a:lumMod val="50000"/>
                </a:schemeClr>
              </a:solidFill>
              <a:ln w="19050">
                <a:noFill/>
              </a:ln>
              <a:effectLst/>
            </c:spPr>
            <c:extLst>
              <c:ext xmlns:c16="http://schemas.microsoft.com/office/drawing/2014/chart" uri="{C3380CC4-5D6E-409C-BE32-E72D297353CC}">
                <c16:uniqueId val="{00000003-CA6D-4FF0-A98A-D7BEA51D0F94}"/>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A6D-4FF0-A98A-D7BEA51D0F9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F60-43B8-AC30-B2B8F6D111A4}"/>
            </c:ext>
          </c:extLst>
        </c:ser>
        <c:dLbls>
          <c:dLblPos val="outEnd"/>
          <c:showLegendKey val="0"/>
          <c:showVal val="1"/>
          <c:showCatName val="0"/>
          <c:showSerName val="0"/>
          <c:showPercent val="0"/>
          <c:showBubbleSize val="0"/>
        </c:dLbls>
        <c:gapWidth val="182"/>
        <c:axId val="358985599"/>
        <c:axId val="358986079"/>
      </c:barChart>
      <c:catAx>
        <c:axId val="358985599"/>
        <c:scaling>
          <c:orientation val="minMax"/>
        </c:scaling>
        <c:delete val="1"/>
        <c:axPos val="l"/>
        <c:numFmt formatCode="General" sourceLinked="1"/>
        <c:majorTickMark val="none"/>
        <c:minorTickMark val="none"/>
        <c:tickLblPos val="nextTo"/>
        <c:crossAx val="358986079"/>
        <c:crosses val="autoZero"/>
        <c:auto val="1"/>
        <c:lblAlgn val="ctr"/>
        <c:lblOffset val="100"/>
        <c:noMultiLvlLbl val="0"/>
      </c:catAx>
      <c:valAx>
        <c:axId val="358986079"/>
        <c:scaling>
          <c:orientation val="minMax"/>
        </c:scaling>
        <c:delete val="1"/>
        <c:axPos val="b"/>
        <c:numFmt formatCode="General" sourceLinked="1"/>
        <c:majorTickMark val="none"/>
        <c:minorTickMark val="none"/>
        <c:tickLblPos val="nextTo"/>
        <c:crossAx val="35898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Excel.xlsx]Department wise Attrition!Department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191D-4F08-8AB0-7047AF438FB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91D-4F08-8AB0-7047AF438F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1D-4F08-8AB0-7047AF438FBC}"/>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91D-4F08-8AB0-7047AF438FB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596602508019831"/>
          <c:y val="0.33452650637921599"/>
          <c:w val="0.17391051812967823"/>
          <c:h val="0.30955619183965638"/>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Excel.xlsx]Attrition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7CE-4829-8FF2-0542C7DB2DF0}"/>
            </c:ext>
          </c:extLst>
        </c:ser>
        <c:dLbls>
          <c:dLblPos val="outEnd"/>
          <c:showLegendKey val="0"/>
          <c:showVal val="1"/>
          <c:showCatName val="0"/>
          <c:showSerName val="0"/>
          <c:showPercent val="0"/>
          <c:showBubbleSize val="0"/>
        </c:dLbls>
        <c:gapWidth val="219"/>
        <c:overlap val="-27"/>
        <c:axId val="559393663"/>
        <c:axId val="559394143"/>
      </c:barChart>
      <c:catAx>
        <c:axId val="55939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394143"/>
        <c:crosses val="autoZero"/>
        <c:auto val="1"/>
        <c:lblAlgn val="ctr"/>
        <c:lblOffset val="100"/>
        <c:noMultiLvlLbl val="0"/>
      </c:catAx>
      <c:valAx>
        <c:axId val="559394143"/>
        <c:scaling>
          <c:orientation val="minMax"/>
        </c:scaling>
        <c:delete val="1"/>
        <c:axPos val="l"/>
        <c:numFmt formatCode="General" sourceLinked="1"/>
        <c:majorTickMark val="none"/>
        <c:minorTickMark val="none"/>
        <c:tickLblPos val="nextTo"/>
        <c:crossAx val="55939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5B6F26A-2E15-47C9-A610-3C8D74E4CD3D}">
          <cx:dataLabels pos="ct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1084F2A0-E9FF-4A7E-BCDC-5BD2E1ABE684}">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45B6F26A-2E15-47C9-A610-3C8D74E4CD3D}">
          <cx:spPr>
            <a:ln>
              <a:noFill/>
            </a:ln>
          </cx:spPr>
          <cx:dataPt idx="2">
            <cx:spPr>
              <a:solidFill>
                <a:srgbClr val="70AD47">
                  <a:lumMod val="50000"/>
                </a:srgbClr>
              </a:solidFill>
            </cx:spPr>
          </cx:dataPt>
          <cx:dataLabels pos="ctr">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plotSurface>
          <cx:spPr>
            <a:noFill/>
            <a:ln>
              <a:noFill/>
            </a:ln>
          </cx:spPr>
        </cx:plotSurface>
        <cx:series layoutId="funnel" uniqueId="{1084F2A0-E9FF-4A7E-BCDC-5BD2E1ABE684}">
          <cx:tx>
            <cx:txData>
              <cx:f>_xlchart.v2.6</cx:f>
              <cx:v>Attrition</cx:v>
            </cx:txData>
          </cx:tx>
          <cx:spPr>
            <a:solidFill>
              <a:schemeClr val="accent1"/>
            </a:solidFill>
          </cx:spPr>
          <cx:dataPt idx="0">
            <cx:spPr>
              <a:solidFill>
                <a:srgbClr val="FFC000">
                  <a:lumMod val="75000"/>
                </a:srgbClr>
              </a:solidFill>
            </cx:spPr>
          </cx:dataPt>
          <cx:dataPt idx="1">
            <cx:spPr>
              <a:solidFill>
                <a:srgbClr val="ED7D31">
                  <a:lumMod val="50000"/>
                </a:srgbClr>
              </a:solidFill>
              <a:ln>
                <a:solidFill>
                  <a:srgbClr val="ED7D31">
                    <a:lumMod val="50000"/>
                  </a:srgbClr>
                </a:solidFill>
              </a:ln>
            </cx:spPr>
          </cx:dataPt>
          <cx:dataPt idx="2">
            <cx:spPr>
              <a:solidFill>
                <a:srgbClr val="70AD47">
                  <a:lumMod val="50000"/>
                </a:srgbClr>
              </a:solidFill>
              <a:ln>
                <a:solidFill>
                  <a:srgbClr val="70AD47"/>
                </a:solidFill>
              </a:ln>
            </cx:spPr>
          </cx:dataPt>
          <cx:dataLabels>
            <cx:visibility seriesName="0" categoryName="0" value="1"/>
          </cx:dataLabels>
          <cx:dataId val="0"/>
        </cx:series>
      </cx:plotAreaRegion>
      <cx:axis id="0">
        <cx:catScaling gapWidth="0.0599999987"/>
        <cx:tickLabels/>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7.xml"/><Relationship Id="rId13" Type="http://schemas.microsoft.com/office/2014/relationships/chartEx" Target="../charts/chartEx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image" Target="../media/image8.png"/><Relationship Id="rId2" Type="http://schemas.openxmlformats.org/officeDocument/2006/relationships/image" Target="../media/image2.png"/><Relationship Id="rId16"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3.xml"/><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6</xdr:col>
      <xdr:colOff>472440</xdr:colOff>
      <xdr:row>0</xdr:row>
      <xdr:rowOff>83821</xdr:rowOff>
    </xdr:from>
    <xdr:to>
      <xdr:col>9</xdr:col>
      <xdr:colOff>289560</xdr:colOff>
      <xdr:row>5</xdr:row>
      <xdr:rowOff>182881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9C12D4C-1DAC-2410-E71A-99C930B2449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39100" y="83821"/>
              <a:ext cx="18288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60960</xdr:colOff>
      <xdr:row>0</xdr:row>
      <xdr:rowOff>68580</xdr:rowOff>
    </xdr:from>
    <xdr:to>
      <xdr:col>11</xdr:col>
      <xdr:colOff>537210</xdr:colOff>
      <xdr:row>6</xdr:row>
      <xdr:rowOff>30480</xdr:rowOff>
    </xdr:to>
    <xdr:graphicFrame macro="">
      <xdr:nvGraphicFramePr>
        <xdr:cNvPr id="2" name="Chart 1">
          <a:extLst>
            <a:ext uri="{FF2B5EF4-FFF2-40B4-BE49-F238E27FC236}">
              <a16:creationId xmlns:a16="http://schemas.microsoft.com/office/drawing/2014/main" id="{6BB40011-0CF1-32A9-76F9-98D02B56A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243840</xdr:colOff>
      <xdr:row>0</xdr:row>
      <xdr:rowOff>114301</xdr:rowOff>
    </xdr:from>
    <xdr:to>
      <xdr:col>8</xdr:col>
      <xdr:colOff>60960</xdr:colOff>
      <xdr:row>7</xdr:row>
      <xdr:rowOff>7621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62BBD16B-D835-F428-2598-C6283876557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724400" y="11430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438150</xdr:colOff>
      <xdr:row>18</xdr:row>
      <xdr:rowOff>114300</xdr:rowOff>
    </xdr:from>
    <xdr:to>
      <xdr:col>9</xdr:col>
      <xdr:colOff>316230</xdr:colOff>
      <xdr:row>23</xdr:row>
      <xdr:rowOff>87630</xdr:rowOff>
    </xdr:to>
    <xdr:graphicFrame macro="">
      <xdr:nvGraphicFramePr>
        <xdr:cNvPr id="4" name="Chart 3">
          <a:extLst>
            <a:ext uri="{FF2B5EF4-FFF2-40B4-BE49-F238E27FC236}">
              <a16:creationId xmlns:a16="http://schemas.microsoft.com/office/drawing/2014/main" id="{FA862A53-2911-0B6C-CD56-62D645109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335280</xdr:colOff>
      <xdr:row>11</xdr:row>
      <xdr:rowOff>45720</xdr:rowOff>
    </xdr:from>
    <xdr:to>
      <xdr:col>13</xdr:col>
      <xdr:colOff>152400</xdr:colOff>
      <xdr:row>24</xdr:row>
      <xdr:rowOff>165735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403E2203-B9B7-76F0-DE42-DE9533E5215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168640" y="22250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281940</xdr:colOff>
      <xdr:row>3</xdr:row>
      <xdr:rowOff>190500</xdr:rowOff>
    </xdr:from>
    <xdr:to>
      <xdr:col>15</xdr:col>
      <xdr:colOff>99060</xdr:colOff>
      <xdr:row>17</xdr:row>
      <xdr:rowOff>112395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45DB26DF-C036-4242-18C5-52D6EA3E8C3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654540" y="784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4</xdr:row>
      <xdr:rowOff>68580</xdr:rowOff>
    </xdr:from>
    <xdr:to>
      <xdr:col>18</xdr:col>
      <xdr:colOff>487680</xdr:colOff>
      <xdr:row>17</xdr:row>
      <xdr:rowOff>188595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7EF49A86-D1C9-3BF5-55C4-BE74E81340F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054840" y="861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110490</xdr:colOff>
      <xdr:row>12</xdr:row>
      <xdr:rowOff>129540</xdr:rowOff>
    </xdr:from>
    <xdr:to>
      <xdr:col>7</xdr:col>
      <xdr:colOff>601980</xdr:colOff>
      <xdr:row>19</xdr:row>
      <xdr:rowOff>110490</xdr:rowOff>
    </xdr:to>
    <xdr:graphicFrame macro="">
      <xdr:nvGraphicFramePr>
        <xdr:cNvPr id="4" name="Chart 3">
          <a:extLst>
            <a:ext uri="{FF2B5EF4-FFF2-40B4-BE49-F238E27FC236}">
              <a16:creationId xmlns:a16="http://schemas.microsoft.com/office/drawing/2014/main" id="{7EFE7415-B7DC-5427-7452-DAA5DA5E9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163830</xdr:colOff>
      <xdr:row>5</xdr:row>
      <xdr:rowOff>144780</xdr:rowOff>
    </xdr:from>
    <xdr:to>
      <xdr:col>9</xdr:col>
      <xdr:colOff>41910</xdr:colOff>
      <xdr:row>19</xdr:row>
      <xdr:rowOff>114300</xdr:rowOff>
    </xdr:to>
    <xdr:graphicFrame macro="">
      <xdr:nvGraphicFramePr>
        <xdr:cNvPr id="2" name="Chart 1">
          <a:extLst>
            <a:ext uri="{FF2B5EF4-FFF2-40B4-BE49-F238E27FC236}">
              <a16:creationId xmlns:a16="http://schemas.microsoft.com/office/drawing/2014/main" id="{137D9E54-88CF-FBA9-81A7-9E50E7FED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19050</xdr:colOff>
      <xdr:row>2</xdr:row>
      <xdr:rowOff>140970</xdr:rowOff>
    </xdr:from>
    <xdr:to>
      <xdr:col>12</xdr:col>
      <xdr:colOff>567690</xdr:colOff>
      <xdr:row>16</xdr:row>
      <xdr:rowOff>110490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FC02EF4-B6F3-E2C2-D815-32ADDFA248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03770" y="5372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5</xdr:row>
      <xdr:rowOff>144780</xdr:rowOff>
    </xdr:from>
    <xdr:to>
      <xdr:col>9</xdr:col>
      <xdr:colOff>331470</xdr:colOff>
      <xdr:row>19</xdr:row>
      <xdr:rowOff>114300</xdr:rowOff>
    </xdr:to>
    <xdr:graphicFrame macro="">
      <xdr:nvGraphicFramePr>
        <xdr:cNvPr id="2" name="Chart 1">
          <a:extLst>
            <a:ext uri="{FF2B5EF4-FFF2-40B4-BE49-F238E27FC236}">
              <a16:creationId xmlns:a16="http://schemas.microsoft.com/office/drawing/2014/main" id="{0EB467EF-16D8-1C79-4755-13915F639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453390</xdr:colOff>
      <xdr:row>5</xdr:row>
      <xdr:rowOff>144780</xdr:rowOff>
    </xdr:from>
    <xdr:to>
      <xdr:col>9</xdr:col>
      <xdr:colOff>331470</xdr:colOff>
      <xdr:row>19</xdr:row>
      <xdr:rowOff>114300</xdr:rowOff>
    </xdr:to>
    <xdr:graphicFrame macro="">
      <xdr:nvGraphicFramePr>
        <xdr:cNvPr id="2" name="Chart 1">
          <a:extLst>
            <a:ext uri="{FF2B5EF4-FFF2-40B4-BE49-F238E27FC236}">
              <a16:creationId xmlns:a16="http://schemas.microsoft.com/office/drawing/2014/main" id="{B92574CC-D39E-6DA2-9BDA-E258BE935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609600</xdr:colOff>
      <xdr:row>3</xdr:row>
      <xdr:rowOff>38100</xdr:rowOff>
    </xdr:from>
    <xdr:to>
      <xdr:col>12</xdr:col>
      <xdr:colOff>426720</xdr:colOff>
      <xdr:row>16</xdr:row>
      <xdr:rowOff>158115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772FC62-DC52-1E44-6D9C-5C6A9724AC4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70520" y="6324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548640</xdr:colOff>
      <xdr:row>3</xdr:row>
      <xdr:rowOff>45720</xdr:rowOff>
    </xdr:from>
    <xdr:to>
      <xdr:col>15</xdr:col>
      <xdr:colOff>365760</xdr:colOff>
      <xdr:row>16</xdr:row>
      <xdr:rowOff>165735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FDF2CCE0-B1D4-F8EB-439A-D5F1D3E13886}"/>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9921240" y="6400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293370</xdr:colOff>
      <xdr:row>5</xdr:row>
      <xdr:rowOff>140970</xdr:rowOff>
    </xdr:from>
    <xdr:to>
      <xdr:col>12</xdr:col>
      <xdr:colOff>171450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1CBEF6B-EF02-4B55-86E1-2DB0B2F79C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6</xdr:col>
      <xdr:colOff>476250</xdr:colOff>
      <xdr:row>0</xdr:row>
      <xdr:rowOff>12700</xdr:rowOff>
    </xdr:from>
    <xdr:ext cx="14754225" cy="8343900"/>
    <xdr:grpSp>
      <xdr:nvGrpSpPr>
        <xdr:cNvPr id="2" name="Shape 2">
          <a:extLst>
            <a:ext uri="{FF2B5EF4-FFF2-40B4-BE49-F238E27FC236}">
              <a16:creationId xmlns:a16="http://schemas.microsoft.com/office/drawing/2014/main" id="{00000000-0008-0000-0300-000002000000}"/>
            </a:ext>
          </a:extLst>
        </xdr:cNvPr>
        <xdr:cNvGrpSpPr/>
      </xdr:nvGrpSpPr>
      <xdr:grpSpPr>
        <a:xfrm>
          <a:off x="4438650" y="12700"/>
          <a:ext cx="14754225" cy="8343900"/>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6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Calibri"/>
                  <a:ea typeface="Calibri"/>
                  <a:cs typeface="Calibri"/>
                  <a:sym typeface="Calibri"/>
                </a:rPr>
                <a:t>`</a:t>
              </a:r>
              <a:endParaRPr sz="16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6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7</xdr:col>
      <xdr:colOff>25399</xdr:colOff>
      <xdr:row>6</xdr:row>
      <xdr:rowOff>76200</xdr:rowOff>
    </xdr:from>
    <xdr:to>
      <xdr:col>10</xdr:col>
      <xdr:colOff>165100</xdr:colOff>
      <xdr:row>8</xdr:row>
      <xdr:rowOff>76200</xdr:rowOff>
    </xdr:to>
    <xdr:sp macro="" textlink="">
      <xdr:nvSpPr>
        <xdr:cNvPr id="3" name="TextBox 2">
          <a:extLst>
            <a:ext uri="{FF2B5EF4-FFF2-40B4-BE49-F238E27FC236}">
              <a16:creationId xmlns:a16="http://schemas.microsoft.com/office/drawing/2014/main" id="{CD531739-E487-2C0D-BDDA-3C4EA85348F5}"/>
            </a:ext>
          </a:extLst>
        </xdr:cNvPr>
        <xdr:cNvSpPr txBox="1"/>
      </xdr:nvSpPr>
      <xdr:spPr>
        <a:xfrm>
          <a:off x="4648199" y="1219200"/>
          <a:ext cx="2120901"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50000"/>
                </a:schemeClr>
              </a:solidFill>
              <a:latin typeface="Cascadia Mono SemiBold" panose="020B0609020000020004" pitchFamily="49" charset="0"/>
              <a:cs typeface="Cascadia Mono SemiBold" panose="020B0609020000020004" pitchFamily="49" charset="0"/>
            </a:rPr>
            <a:t>TOTAL EMPLOYEES</a:t>
          </a:r>
        </a:p>
      </xdr:txBody>
    </xdr:sp>
    <xdr:clientData/>
  </xdr:twoCellAnchor>
  <xdr:twoCellAnchor>
    <xdr:from>
      <xdr:col>7</xdr:col>
      <xdr:colOff>317500</xdr:colOff>
      <xdr:row>7</xdr:row>
      <xdr:rowOff>88900</xdr:rowOff>
    </xdr:from>
    <xdr:to>
      <xdr:col>9</xdr:col>
      <xdr:colOff>0</xdr:colOff>
      <xdr:row>9</xdr:row>
      <xdr:rowOff>152400</xdr:rowOff>
    </xdr:to>
    <xdr:sp macro="" textlink="KPI!A8">
      <xdr:nvSpPr>
        <xdr:cNvPr id="5" name="TextBox 4">
          <a:extLst>
            <a:ext uri="{FF2B5EF4-FFF2-40B4-BE49-F238E27FC236}">
              <a16:creationId xmlns:a16="http://schemas.microsoft.com/office/drawing/2014/main" id="{658A2E3C-0F0B-042C-ED19-D3BC975CF049}"/>
            </a:ext>
          </a:extLst>
        </xdr:cNvPr>
        <xdr:cNvSpPr txBox="1"/>
      </xdr:nvSpPr>
      <xdr:spPr>
        <a:xfrm>
          <a:off x="4940300" y="1422400"/>
          <a:ext cx="10033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260E51-1F21-40DD-85F0-6C59A8416B6B}" type="TxLink">
            <a:rPr lang="en-US" sz="2400" b="1" i="0" u="none" strike="noStrike">
              <a:solidFill>
                <a:srgbClr val="000000"/>
              </a:solidFill>
              <a:latin typeface="Calibri"/>
              <a:ea typeface="Calibri"/>
              <a:cs typeface="Calibri"/>
            </a:rPr>
            <a:pPr/>
            <a:t>1470</a:t>
          </a:fld>
          <a:endParaRPr lang="en-US" sz="2400" b="1"/>
        </a:p>
      </xdr:txBody>
    </xdr:sp>
    <xdr:clientData/>
  </xdr:twoCellAnchor>
  <xdr:twoCellAnchor>
    <xdr:from>
      <xdr:col>11</xdr:col>
      <xdr:colOff>228599</xdr:colOff>
      <xdr:row>6</xdr:row>
      <xdr:rowOff>25400</xdr:rowOff>
    </xdr:from>
    <xdr:to>
      <xdr:col>14</xdr:col>
      <xdr:colOff>88900</xdr:colOff>
      <xdr:row>7</xdr:row>
      <xdr:rowOff>139700</xdr:rowOff>
    </xdr:to>
    <xdr:sp macro="" textlink="">
      <xdr:nvSpPr>
        <xdr:cNvPr id="6" name="TextBox 5">
          <a:extLst>
            <a:ext uri="{FF2B5EF4-FFF2-40B4-BE49-F238E27FC236}">
              <a16:creationId xmlns:a16="http://schemas.microsoft.com/office/drawing/2014/main" id="{B5DEECCE-88E8-469D-808F-A2E5BFBE4F39}"/>
            </a:ext>
          </a:extLst>
        </xdr:cNvPr>
        <xdr:cNvSpPr txBox="1"/>
      </xdr:nvSpPr>
      <xdr:spPr>
        <a:xfrm>
          <a:off x="7492999" y="1168400"/>
          <a:ext cx="184150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latin typeface="Cascadia Mono SemiBold" panose="020B0609020000020004" pitchFamily="49" charset="0"/>
              <a:cs typeface="Cascadia Mono SemiBold" panose="020B0609020000020004" pitchFamily="49" charset="0"/>
            </a:rPr>
            <a:t>Attrition</a:t>
          </a:r>
        </a:p>
      </xdr:txBody>
    </xdr:sp>
    <xdr:clientData/>
  </xdr:twoCellAnchor>
  <xdr:twoCellAnchor>
    <xdr:from>
      <xdr:col>11</xdr:col>
      <xdr:colOff>596900</xdr:colOff>
      <xdr:row>7</xdr:row>
      <xdr:rowOff>152400</xdr:rowOff>
    </xdr:from>
    <xdr:to>
      <xdr:col>13</xdr:col>
      <xdr:colOff>279400</xdr:colOff>
      <xdr:row>10</xdr:row>
      <xdr:rowOff>25400</xdr:rowOff>
    </xdr:to>
    <xdr:sp macro="" textlink="KPI!B8">
      <xdr:nvSpPr>
        <xdr:cNvPr id="7" name="TextBox 6">
          <a:extLst>
            <a:ext uri="{FF2B5EF4-FFF2-40B4-BE49-F238E27FC236}">
              <a16:creationId xmlns:a16="http://schemas.microsoft.com/office/drawing/2014/main" id="{7A163C18-7D3D-49FC-8DC6-04F01BF41CF9}"/>
            </a:ext>
          </a:extLst>
        </xdr:cNvPr>
        <xdr:cNvSpPr txBox="1"/>
      </xdr:nvSpPr>
      <xdr:spPr>
        <a:xfrm>
          <a:off x="7861300" y="1485900"/>
          <a:ext cx="10033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789BAB-07A9-47FB-9A3D-08BE3CACFD0F}" type="TxLink">
            <a:rPr lang="en-US" sz="2400" b="1" i="0" u="none" strike="noStrike">
              <a:solidFill>
                <a:srgbClr val="000000"/>
              </a:solidFill>
              <a:latin typeface="Calibri"/>
              <a:ea typeface="Calibri"/>
              <a:cs typeface="Calibri"/>
            </a:rPr>
            <a:pPr/>
            <a:t>237</a:t>
          </a:fld>
          <a:endParaRPr lang="en-US" sz="2400" b="1"/>
        </a:p>
      </xdr:txBody>
    </xdr:sp>
    <xdr:clientData/>
  </xdr:twoCellAnchor>
  <xdr:twoCellAnchor>
    <xdr:from>
      <xdr:col>16</xdr:col>
      <xdr:colOff>12700</xdr:colOff>
      <xdr:row>6</xdr:row>
      <xdr:rowOff>50800</xdr:rowOff>
    </xdr:from>
    <xdr:to>
      <xdr:col>19</xdr:col>
      <xdr:colOff>254000</xdr:colOff>
      <xdr:row>7</xdr:row>
      <xdr:rowOff>177800</xdr:rowOff>
    </xdr:to>
    <xdr:sp macro="" textlink="">
      <xdr:nvSpPr>
        <xdr:cNvPr id="8" name="TextBox 7">
          <a:extLst>
            <a:ext uri="{FF2B5EF4-FFF2-40B4-BE49-F238E27FC236}">
              <a16:creationId xmlns:a16="http://schemas.microsoft.com/office/drawing/2014/main" id="{AC6A30F5-B705-4BBD-8032-F9773998C8D9}"/>
            </a:ext>
          </a:extLst>
        </xdr:cNvPr>
        <xdr:cNvSpPr txBox="1"/>
      </xdr:nvSpPr>
      <xdr:spPr>
        <a:xfrm>
          <a:off x="10579100" y="1193800"/>
          <a:ext cx="22225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50000"/>
                </a:schemeClr>
              </a:solidFill>
              <a:latin typeface="Cascadia Mono SemiBold" panose="020B0609020000020004" pitchFamily="49" charset="0"/>
              <a:cs typeface="Cascadia Mono SemiBold" panose="020B0609020000020004" pitchFamily="49" charset="0"/>
            </a:rPr>
            <a:t>Active</a:t>
          </a:r>
          <a:r>
            <a:rPr lang="en-IN" sz="1600" b="1" baseline="0">
              <a:solidFill>
                <a:schemeClr val="accent6">
                  <a:lumMod val="50000"/>
                </a:schemeClr>
              </a:solidFill>
              <a:latin typeface="Cascadia Mono SemiBold" panose="020B0609020000020004" pitchFamily="49" charset="0"/>
              <a:cs typeface="Cascadia Mono SemiBold" panose="020B0609020000020004" pitchFamily="49" charset="0"/>
            </a:rPr>
            <a:t> Employees</a:t>
          </a:r>
          <a:endParaRPr lang="en-IN" sz="1600" b="1">
            <a:solidFill>
              <a:schemeClr val="accent6">
                <a:lumMod val="50000"/>
              </a:schemeClr>
            </a:solidFill>
            <a:latin typeface="Cascadia Mono SemiBold" panose="020B0609020000020004" pitchFamily="49" charset="0"/>
            <a:cs typeface="Cascadia Mono SemiBold" panose="020B0609020000020004" pitchFamily="49" charset="0"/>
          </a:endParaRPr>
        </a:p>
      </xdr:txBody>
    </xdr:sp>
    <xdr:clientData/>
  </xdr:twoCellAnchor>
  <xdr:twoCellAnchor>
    <xdr:from>
      <xdr:col>16</xdr:col>
      <xdr:colOff>425451</xdr:colOff>
      <xdr:row>7</xdr:row>
      <xdr:rowOff>139700</xdr:rowOff>
    </xdr:from>
    <xdr:to>
      <xdr:col>18</xdr:col>
      <xdr:colOff>107951</xdr:colOff>
      <xdr:row>10</xdr:row>
      <xdr:rowOff>12700</xdr:rowOff>
    </xdr:to>
    <xdr:sp macro="" textlink="KPI!D8">
      <xdr:nvSpPr>
        <xdr:cNvPr id="9" name="TextBox 8">
          <a:extLst>
            <a:ext uri="{FF2B5EF4-FFF2-40B4-BE49-F238E27FC236}">
              <a16:creationId xmlns:a16="http://schemas.microsoft.com/office/drawing/2014/main" id="{56C56B1D-1ABF-459D-9756-5DFBE9FF8B10}"/>
            </a:ext>
          </a:extLst>
        </xdr:cNvPr>
        <xdr:cNvSpPr txBox="1"/>
      </xdr:nvSpPr>
      <xdr:spPr>
        <a:xfrm>
          <a:off x="10991851" y="1473200"/>
          <a:ext cx="10033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A945F3-542E-4B2E-9998-1814F367C274}" type="TxLink">
            <a:rPr lang="en-US" sz="2400" b="1" i="0" u="none" strike="noStrike">
              <a:solidFill>
                <a:srgbClr val="000000"/>
              </a:solidFill>
              <a:latin typeface="Calibri"/>
              <a:ea typeface="Calibri"/>
              <a:cs typeface="Calibri"/>
            </a:rPr>
            <a:pPr/>
            <a:t>1233</a:t>
          </a:fld>
          <a:endParaRPr lang="en-US" sz="2400" b="1"/>
        </a:p>
      </xdr:txBody>
    </xdr:sp>
    <xdr:clientData/>
  </xdr:twoCellAnchor>
  <xdr:twoCellAnchor>
    <xdr:from>
      <xdr:col>20</xdr:col>
      <xdr:colOff>336550</xdr:colOff>
      <xdr:row>6</xdr:row>
      <xdr:rowOff>38100</xdr:rowOff>
    </xdr:from>
    <xdr:to>
      <xdr:col>23</xdr:col>
      <xdr:colOff>196851</xdr:colOff>
      <xdr:row>7</xdr:row>
      <xdr:rowOff>114300</xdr:rowOff>
    </xdr:to>
    <xdr:sp macro="" textlink="">
      <xdr:nvSpPr>
        <xdr:cNvPr id="10" name="TextBox 9">
          <a:extLst>
            <a:ext uri="{FF2B5EF4-FFF2-40B4-BE49-F238E27FC236}">
              <a16:creationId xmlns:a16="http://schemas.microsoft.com/office/drawing/2014/main" id="{0E7412FC-AC26-42B1-85B9-78FFF1420416}"/>
            </a:ext>
          </a:extLst>
        </xdr:cNvPr>
        <xdr:cNvSpPr txBox="1"/>
      </xdr:nvSpPr>
      <xdr:spPr>
        <a:xfrm>
          <a:off x="13544550" y="1181100"/>
          <a:ext cx="184150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50000"/>
                </a:schemeClr>
              </a:solidFill>
              <a:latin typeface="Cascadia Mono SemiBold" panose="020B0609020000020004" pitchFamily="49" charset="0"/>
              <a:cs typeface="Cascadia Mono SemiBold" panose="020B0609020000020004" pitchFamily="49" charset="0"/>
            </a:rPr>
            <a:t>Attrition</a:t>
          </a:r>
          <a:r>
            <a:rPr lang="en-IN" sz="1600" b="1" baseline="0">
              <a:solidFill>
                <a:srgbClr val="C00000"/>
              </a:solidFill>
              <a:latin typeface="Cascadia Mono SemiBold" panose="020B0609020000020004" pitchFamily="49" charset="0"/>
              <a:cs typeface="Cascadia Mono SemiBold" panose="020B0609020000020004" pitchFamily="49" charset="0"/>
            </a:rPr>
            <a:t> Rate</a:t>
          </a:r>
          <a:endParaRPr lang="en-IN" sz="1600" b="1">
            <a:solidFill>
              <a:srgbClr val="C00000"/>
            </a:solidFill>
            <a:latin typeface="Cascadia Mono SemiBold" panose="020B0609020000020004" pitchFamily="49" charset="0"/>
            <a:cs typeface="Cascadia Mono SemiBold" panose="020B0609020000020004" pitchFamily="49" charset="0"/>
          </a:endParaRPr>
        </a:p>
      </xdr:txBody>
    </xdr:sp>
    <xdr:clientData/>
  </xdr:twoCellAnchor>
  <xdr:twoCellAnchor>
    <xdr:from>
      <xdr:col>20</xdr:col>
      <xdr:colOff>628651</xdr:colOff>
      <xdr:row>7</xdr:row>
      <xdr:rowOff>127000</xdr:rowOff>
    </xdr:from>
    <xdr:to>
      <xdr:col>22</xdr:col>
      <xdr:colOff>311151</xdr:colOff>
      <xdr:row>10</xdr:row>
      <xdr:rowOff>0</xdr:rowOff>
    </xdr:to>
    <xdr:sp macro="" textlink="KPI!E8">
      <xdr:nvSpPr>
        <xdr:cNvPr id="11" name="TextBox 10">
          <a:extLst>
            <a:ext uri="{FF2B5EF4-FFF2-40B4-BE49-F238E27FC236}">
              <a16:creationId xmlns:a16="http://schemas.microsoft.com/office/drawing/2014/main" id="{39F1023C-DB4F-4BD7-AD08-340383D88151}"/>
            </a:ext>
          </a:extLst>
        </xdr:cNvPr>
        <xdr:cNvSpPr txBox="1"/>
      </xdr:nvSpPr>
      <xdr:spPr>
        <a:xfrm>
          <a:off x="13836651" y="1460500"/>
          <a:ext cx="10033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E6638D-0927-4E7A-991C-5E572AF42222}" type="TxLink">
            <a:rPr lang="en-US" sz="2400" b="1" i="0" u="none" strike="noStrike">
              <a:solidFill>
                <a:srgbClr val="000000"/>
              </a:solidFill>
              <a:latin typeface="Calibri"/>
              <a:ea typeface="Calibri"/>
              <a:cs typeface="Calibri"/>
            </a:rPr>
            <a:pPr/>
            <a:t>16%</a:t>
          </a:fld>
          <a:endParaRPr lang="en-US" sz="2400" b="1"/>
        </a:p>
      </xdr:txBody>
    </xdr:sp>
    <xdr:clientData/>
  </xdr:twoCellAnchor>
  <xdr:twoCellAnchor>
    <xdr:from>
      <xdr:col>24</xdr:col>
      <xdr:colOff>615950</xdr:colOff>
      <xdr:row>6</xdr:row>
      <xdr:rowOff>76200</xdr:rowOff>
    </xdr:from>
    <xdr:to>
      <xdr:col>27</xdr:col>
      <xdr:colOff>285751</xdr:colOff>
      <xdr:row>8</xdr:row>
      <xdr:rowOff>12700</xdr:rowOff>
    </xdr:to>
    <xdr:sp macro="" textlink="">
      <xdr:nvSpPr>
        <xdr:cNvPr id="12" name="TextBox 11">
          <a:extLst>
            <a:ext uri="{FF2B5EF4-FFF2-40B4-BE49-F238E27FC236}">
              <a16:creationId xmlns:a16="http://schemas.microsoft.com/office/drawing/2014/main" id="{33583AF2-40B1-4E3B-B32C-BC1D3BBD995B}"/>
            </a:ext>
          </a:extLst>
        </xdr:cNvPr>
        <xdr:cNvSpPr txBox="1"/>
      </xdr:nvSpPr>
      <xdr:spPr>
        <a:xfrm>
          <a:off x="16465550" y="1219200"/>
          <a:ext cx="184150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lumMod val="50000"/>
                </a:schemeClr>
              </a:solidFill>
              <a:latin typeface="Cascadia Mono SemiBold" panose="020B0609020000020004" pitchFamily="49" charset="0"/>
              <a:cs typeface="Cascadia Mono SemiBold" panose="020B0609020000020004" pitchFamily="49" charset="0"/>
            </a:rPr>
            <a:t>Average Age</a:t>
          </a:r>
        </a:p>
      </xdr:txBody>
    </xdr:sp>
    <xdr:clientData/>
  </xdr:twoCellAnchor>
  <xdr:twoCellAnchor>
    <xdr:from>
      <xdr:col>25</xdr:col>
      <xdr:colOff>247651</xdr:colOff>
      <xdr:row>7</xdr:row>
      <xdr:rowOff>152400</xdr:rowOff>
    </xdr:from>
    <xdr:to>
      <xdr:col>26</xdr:col>
      <xdr:colOff>590551</xdr:colOff>
      <xdr:row>9</xdr:row>
      <xdr:rowOff>152400</xdr:rowOff>
    </xdr:to>
    <xdr:sp macro="" textlink="KPI!C8">
      <xdr:nvSpPr>
        <xdr:cNvPr id="13" name="TextBox 12">
          <a:extLst>
            <a:ext uri="{FF2B5EF4-FFF2-40B4-BE49-F238E27FC236}">
              <a16:creationId xmlns:a16="http://schemas.microsoft.com/office/drawing/2014/main" id="{5588CC07-AD0B-45C9-87F8-BB684B0ECE6C}"/>
            </a:ext>
          </a:extLst>
        </xdr:cNvPr>
        <xdr:cNvSpPr txBox="1"/>
      </xdr:nvSpPr>
      <xdr:spPr>
        <a:xfrm>
          <a:off x="16757651" y="1485900"/>
          <a:ext cx="1003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034E56-9D48-41B0-A124-9A06734B9F82}" type="TxLink">
            <a:rPr lang="en-US" sz="2400" b="1" i="0" u="none" strike="noStrike">
              <a:solidFill>
                <a:srgbClr val="000000"/>
              </a:solidFill>
              <a:latin typeface="Calibri"/>
              <a:ea typeface="Calibri"/>
              <a:cs typeface="Calibri"/>
            </a:rPr>
            <a:pPr/>
            <a:t> 37 </a:t>
          </a:fld>
          <a:endParaRPr lang="en-US" sz="2400" b="1"/>
        </a:p>
      </xdr:txBody>
    </xdr:sp>
    <xdr:clientData/>
  </xdr:twoCellAnchor>
  <xdr:oneCellAnchor>
    <xdr:from>
      <xdr:col>10</xdr:col>
      <xdr:colOff>279400</xdr:colOff>
      <xdr:row>6</xdr:row>
      <xdr:rowOff>76200</xdr:rowOff>
    </xdr:from>
    <xdr:ext cx="333375" cy="314325"/>
    <xdr:pic>
      <xdr:nvPicPr>
        <xdr:cNvPr id="14" name="image4.png">
          <a:extLst>
            <a:ext uri="{FF2B5EF4-FFF2-40B4-BE49-F238E27FC236}">
              <a16:creationId xmlns:a16="http://schemas.microsoft.com/office/drawing/2014/main" id="{81F883FF-9DCE-4EAA-8A98-0136F8FAB839}"/>
            </a:ext>
          </a:extLst>
        </xdr:cNvPr>
        <xdr:cNvPicPr preferRelativeResize="0"/>
      </xdr:nvPicPr>
      <xdr:blipFill>
        <a:blip xmlns:r="http://schemas.openxmlformats.org/officeDocument/2006/relationships" r:embed="rId1" cstate="print"/>
        <a:stretch>
          <a:fillRect/>
        </a:stretch>
      </xdr:blipFill>
      <xdr:spPr>
        <a:xfrm>
          <a:off x="6883400" y="1219200"/>
          <a:ext cx="333375" cy="314325"/>
        </a:xfrm>
        <a:prstGeom prst="rect">
          <a:avLst/>
        </a:prstGeom>
        <a:noFill/>
      </xdr:spPr>
    </xdr:pic>
    <xdr:clientData fLocksWithSheet="0"/>
  </xdr:oneCellAnchor>
  <xdr:oneCellAnchor>
    <xdr:from>
      <xdr:col>19</xdr:col>
      <xdr:colOff>101600</xdr:colOff>
      <xdr:row>6</xdr:row>
      <xdr:rowOff>127000</xdr:rowOff>
    </xdr:from>
    <xdr:ext cx="419100" cy="304800"/>
    <xdr:pic>
      <xdr:nvPicPr>
        <xdr:cNvPr id="15" name="image5.png">
          <a:extLst>
            <a:ext uri="{FF2B5EF4-FFF2-40B4-BE49-F238E27FC236}">
              <a16:creationId xmlns:a16="http://schemas.microsoft.com/office/drawing/2014/main" id="{959AF851-2C0F-4A0D-B0E5-E6CEA4726624}"/>
            </a:ext>
          </a:extLst>
        </xdr:cNvPr>
        <xdr:cNvPicPr preferRelativeResize="0"/>
      </xdr:nvPicPr>
      <xdr:blipFill>
        <a:blip xmlns:r="http://schemas.openxmlformats.org/officeDocument/2006/relationships" r:embed="rId2" cstate="print"/>
        <a:stretch>
          <a:fillRect/>
        </a:stretch>
      </xdr:blipFill>
      <xdr:spPr>
        <a:xfrm>
          <a:off x="12649200" y="1270000"/>
          <a:ext cx="419100" cy="304800"/>
        </a:xfrm>
        <a:prstGeom prst="rect">
          <a:avLst/>
        </a:prstGeom>
        <a:noFill/>
      </xdr:spPr>
    </xdr:pic>
    <xdr:clientData fLocksWithSheet="0"/>
  </xdr:oneCellAnchor>
  <xdr:oneCellAnchor>
    <xdr:from>
      <xdr:col>23</xdr:col>
      <xdr:colOff>393700</xdr:colOff>
      <xdr:row>6</xdr:row>
      <xdr:rowOff>127000</xdr:rowOff>
    </xdr:from>
    <xdr:ext cx="390525" cy="314325"/>
    <xdr:pic>
      <xdr:nvPicPr>
        <xdr:cNvPr id="16" name="image2.png">
          <a:extLst>
            <a:ext uri="{FF2B5EF4-FFF2-40B4-BE49-F238E27FC236}">
              <a16:creationId xmlns:a16="http://schemas.microsoft.com/office/drawing/2014/main" id="{630FDE6F-8580-4895-B490-2479354B6D74}"/>
            </a:ext>
          </a:extLst>
        </xdr:cNvPr>
        <xdr:cNvPicPr preferRelativeResize="0"/>
      </xdr:nvPicPr>
      <xdr:blipFill>
        <a:blip xmlns:r="http://schemas.openxmlformats.org/officeDocument/2006/relationships" r:embed="rId3" cstate="print"/>
        <a:stretch>
          <a:fillRect/>
        </a:stretch>
      </xdr:blipFill>
      <xdr:spPr>
        <a:xfrm>
          <a:off x="15582900" y="1270000"/>
          <a:ext cx="390525" cy="314325"/>
        </a:xfrm>
        <a:prstGeom prst="rect">
          <a:avLst/>
        </a:prstGeom>
        <a:noFill/>
      </xdr:spPr>
    </xdr:pic>
    <xdr:clientData fLocksWithSheet="0"/>
  </xdr:oneCellAnchor>
  <xdr:oneCellAnchor>
    <xdr:from>
      <xdr:col>27</xdr:col>
      <xdr:colOff>114300</xdr:colOff>
      <xdr:row>6</xdr:row>
      <xdr:rowOff>139700</xdr:rowOff>
    </xdr:from>
    <xdr:ext cx="295275" cy="266700"/>
    <xdr:pic>
      <xdr:nvPicPr>
        <xdr:cNvPr id="17" name="image6.png">
          <a:extLst>
            <a:ext uri="{FF2B5EF4-FFF2-40B4-BE49-F238E27FC236}">
              <a16:creationId xmlns:a16="http://schemas.microsoft.com/office/drawing/2014/main" id="{102E70EE-38C4-4CE5-85E6-E76BC0352067}"/>
            </a:ext>
          </a:extLst>
        </xdr:cNvPr>
        <xdr:cNvPicPr preferRelativeResize="0"/>
      </xdr:nvPicPr>
      <xdr:blipFill>
        <a:blip xmlns:r="http://schemas.openxmlformats.org/officeDocument/2006/relationships" r:embed="rId4" cstate="print"/>
        <a:stretch>
          <a:fillRect/>
        </a:stretch>
      </xdr:blipFill>
      <xdr:spPr>
        <a:xfrm>
          <a:off x="18135600" y="1282700"/>
          <a:ext cx="295275" cy="266700"/>
        </a:xfrm>
        <a:prstGeom prst="rect">
          <a:avLst/>
        </a:prstGeom>
        <a:noFill/>
      </xdr:spPr>
    </xdr:pic>
    <xdr:clientData fLocksWithSheet="0"/>
  </xdr:oneCellAnchor>
  <xdr:oneCellAnchor>
    <xdr:from>
      <xdr:col>14</xdr:col>
      <xdr:colOff>304800</xdr:colOff>
      <xdr:row>6</xdr:row>
      <xdr:rowOff>50800</xdr:rowOff>
    </xdr:from>
    <xdr:ext cx="485775" cy="387350"/>
    <xdr:pic>
      <xdr:nvPicPr>
        <xdr:cNvPr id="18" name="image7.png">
          <a:extLst>
            <a:ext uri="{FF2B5EF4-FFF2-40B4-BE49-F238E27FC236}">
              <a16:creationId xmlns:a16="http://schemas.microsoft.com/office/drawing/2014/main" id="{E334C0F3-72A4-4269-B37B-25A10B471194}"/>
            </a:ext>
          </a:extLst>
        </xdr:cNvPr>
        <xdr:cNvPicPr preferRelativeResize="0"/>
      </xdr:nvPicPr>
      <xdr:blipFill>
        <a:blip xmlns:r="http://schemas.openxmlformats.org/officeDocument/2006/relationships" r:embed="rId5" cstate="print"/>
        <a:stretch>
          <a:fillRect/>
        </a:stretch>
      </xdr:blipFill>
      <xdr:spPr>
        <a:xfrm>
          <a:off x="9550400" y="1193800"/>
          <a:ext cx="485775" cy="387350"/>
        </a:xfrm>
        <a:prstGeom prst="rect">
          <a:avLst/>
        </a:prstGeom>
        <a:noFill/>
      </xdr:spPr>
    </xdr:pic>
    <xdr:clientData fLocksWithSheet="0"/>
  </xdr:oneCellAnchor>
  <xdr:twoCellAnchor>
    <xdr:from>
      <xdr:col>8</xdr:col>
      <xdr:colOff>177800</xdr:colOff>
      <xdr:row>1</xdr:row>
      <xdr:rowOff>76200</xdr:rowOff>
    </xdr:from>
    <xdr:to>
      <xdr:col>17</xdr:col>
      <xdr:colOff>304800</xdr:colOff>
      <xdr:row>4</xdr:row>
      <xdr:rowOff>177800</xdr:rowOff>
    </xdr:to>
    <xdr:sp macro="" textlink="">
      <xdr:nvSpPr>
        <xdr:cNvPr id="19" name="TextBox 18">
          <a:extLst>
            <a:ext uri="{FF2B5EF4-FFF2-40B4-BE49-F238E27FC236}">
              <a16:creationId xmlns:a16="http://schemas.microsoft.com/office/drawing/2014/main" id="{77AD6C4C-4487-175A-2963-65D176C05CFD}"/>
            </a:ext>
          </a:extLst>
        </xdr:cNvPr>
        <xdr:cNvSpPr txBox="1"/>
      </xdr:nvSpPr>
      <xdr:spPr>
        <a:xfrm>
          <a:off x="5461000" y="266700"/>
          <a:ext cx="60706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accent6">
                  <a:lumMod val="50000"/>
                </a:schemeClr>
              </a:solidFill>
            </a:rPr>
            <a:t>HR ANALYITICS DASHBOARD</a:t>
          </a:r>
        </a:p>
      </xdr:txBody>
    </xdr:sp>
    <xdr:clientData/>
  </xdr:twoCellAnchor>
  <xdr:oneCellAnchor>
    <xdr:from>
      <xdr:col>7</xdr:col>
      <xdr:colOff>63500</xdr:colOff>
      <xdr:row>1</xdr:row>
      <xdr:rowOff>38100</xdr:rowOff>
    </xdr:from>
    <xdr:ext cx="698500" cy="650875"/>
    <xdr:pic>
      <xdr:nvPicPr>
        <xdr:cNvPr id="20" name="image1.png">
          <a:extLst>
            <a:ext uri="{FF2B5EF4-FFF2-40B4-BE49-F238E27FC236}">
              <a16:creationId xmlns:a16="http://schemas.microsoft.com/office/drawing/2014/main" id="{B0F6B41B-518B-4E24-B060-D9757A8E9F87}"/>
            </a:ext>
          </a:extLst>
        </xdr:cNvPr>
        <xdr:cNvPicPr preferRelativeResize="0"/>
      </xdr:nvPicPr>
      <xdr:blipFill>
        <a:blip xmlns:r="http://schemas.openxmlformats.org/officeDocument/2006/relationships" r:embed="rId6" cstate="print"/>
        <a:stretch>
          <a:fillRect/>
        </a:stretch>
      </xdr:blipFill>
      <xdr:spPr>
        <a:xfrm>
          <a:off x="4686300" y="228600"/>
          <a:ext cx="698500" cy="650875"/>
        </a:xfrm>
        <a:prstGeom prst="rect">
          <a:avLst/>
        </a:prstGeom>
        <a:noFill/>
      </xdr:spPr>
    </xdr:pic>
    <xdr:clientData fLocksWithSheet="0"/>
  </xdr:oneCellAnchor>
  <xdr:oneCellAnchor>
    <xdr:from>
      <xdr:col>19</xdr:col>
      <xdr:colOff>609600</xdr:colOff>
      <xdr:row>1</xdr:row>
      <xdr:rowOff>63500</xdr:rowOff>
    </xdr:from>
    <xdr:ext cx="723900" cy="628650"/>
    <xdr:pic>
      <xdr:nvPicPr>
        <xdr:cNvPr id="21" name="image3.png">
          <a:extLst>
            <a:ext uri="{FF2B5EF4-FFF2-40B4-BE49-F238E27FC236}">
              <a16:creationId xmlns:a16="http://schemas.microsoft.com/office/drawing/2014/main" id="{8CD9E158-8B28-4BCB-92B9-6355D6644785}"/>
            </a:ext>
          </a:extLst>
        </xdr:cNvPr>
        <xdr:cNvPicPr preferRelativeResize="0"/>
      </xdr:nvPicPr>
      <xdr:blipFill>
        <a:blip xmlns:r="http://schemas.openxmlformats.org/officeDocument/2006/relationships" r:embed="rId7" cstate="print"/>
        <a:stretch>
          <a:fillRect/>
        </a:stretch>
      </xdr:blipFill>
      <xdr:spPr>
        <a:xfrm>
          <a:off x="13157200" y="254000"/>
          <a:ext cx="723900" cy="628650"/>
        </a:xfrm>
        <a:prstGeom prst="rect">
          <a:avLst/>
        </a:prstGeom>
        <a:noFill/>
      </xdr:spPr>
    </xdr:pic>
    <xdr:clientData fLocksWithSheet="0"/>
  </xdr:oneCellAnchor>
  <xdr:twoCellAnchor>
    <xdr:from>
      <xdr:col>21</xdr:col>
      <xdr:colOff>63500</xdr:colOff>
      <xdr:row>1</xdr:row>
      <xdr:rowOff>12700</xdr:rowOff>
    </xdr:from>
    <xdr:to>
      <xdr:col>23</xdr:col>
      <xdr:colOff>254000</xdr:colOff>
      <xdr:row>5</xdr:row>
      <xdr:rowOff>101600</xdr:rowOff>
    </xdr:to>
    <xdr:sp macro="" textlink="">
      <xdr:nvSpPr>
        <xdr:cNvPr id="22" name="TextBox 21">
          <a:extLst>
            <a:ext uri="{FF2B5EF4-FFF2-40B4-BE49-F238E27FC236}">
              <a16:creationId xmlns:a16="http://schemas.microsoft.com/office/drawing/2014/main" id="{CB3E224A-E550-E98C-762A-EF789D390FDE}"/>
            </a:ext>
          </a:extLst>
        </xdr:cNvPr>
        <xdr:cNvSpPr txBox="1"/>
      </xdr:nvSpPr>
      <xdr:spPr>
        <a:xfrm>
          <a:off x="13931900" y="203200"/>
          <a:ext cx="151130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JOB SATISFACTION RATING</a:t>
          </a:r>
        </a:p>
      </xdr:txBody>
    </xdr:sp>
    <xdr:clientData/>
  </xdr:twoCellAnchor>
  <xdr:twoCellAnchor>
    <xdr:from>
      <xdr:col>23</xdr:col>
      <xdr:colOff>177800</xdr:colOff>
      <xdr:row>0</xdr:row>
      <xdr:rowOff>165100</xdr:rowOff>
    </xdr:from>
    <xdr:to>
      <xdr:col>24</xdr:col>
      <xdr:colOff>419100</xdr:colOff>
      <xdr:row>4</xdr:row>
      <xdr:rowOff>177800</xdr:rowOff>
    </xdr:to>
    <xdr:graphicFrame macro="">
      <xdr:nvGraphicFramePr>
        <xdr:cNvPr id="23" name="Chart 22">
          <a:extLst>
            <a:ext uri="{FF2B5EF4-FFF2-40B4-BE49-F238E27FC236}">
              <a16:creationId xmlns:a16="http://schemas.microsoft.com/office/drawing/2014/main" id="{6D75F4FF-3A3E-4262-99AD-810112109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381000</xdr:colOff>
      <xdr:row>2</xdr:row>
      <xdr:rowOff>76200</xdr:rowOff>
    </xdr:from>
    <xdr:to>
      <xdr:col>24</xdr:col>
      <xdr:colOff>114300</xdr:colOff>
      <xdr:row>3</xdr:row>
      <xdr:rowOff>152400</xdr:rowOff>
    </xdr:to>
    <xdr:sp macro="" textlink="Rating!$B$7">
      <xdr:nvSpPr>
        <xdr:cNvPr id="24" name="TextBox 23">
          <a:extLst>
            <a:ext uri="{FF2B5EF4-FFF2-40B4-BE49-F238E27FC236}">
              <a16:creationId xmlns:a16="http://schemas.microsoft.com/office/drawing/2014/main" id="{5F5F543E-0AD9-AAE9-5B84-2F6928E78E68}"/>
            </a:ext>
          </a:extLst>
        </xdr:cNvPr>
        <xdr:cNvSpPr txBox="1"/>
      </xdr:nvSpPr>
      <xdr:spPr>
        <a:xfrm>
          <a:off x="15570200" y="482600"/>
          <a:ext cx="393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ABD721-19FD-4E78-AD23-B2719C7ED68B}" type="TxLink">
            <a:rPr lang="en-US" sz="1200" b="1" i="0" u="none" strike="noStrike">
              <a:solidFill>
                <a:srgbClr val="000000"/>
              </a:solidFill>
              <a:latin typeface="Calibri"/>
              <a:ea typeface="Calibri"/>
              <a:cs typeface="Calibri"/>
            </a:rPr>
            <a:pPr algn="ctr"/>
            <a:t>2.6</a:t>
          </a:fld>
          <a:endParaRPr lang="en-IN" sz="1100" b="1"/>
        </a:p>
      </xdr:txBody>
    </xdr:sp>
    <xdr:clientData/>
  </xdr:twoCellAnchor>
  <xdr:twoCellAnchor>
    <xdr:from>
      <xdr:col>24</xdr:col>
      <xdr:colOff>444500</xdr:colOff>
      <xdr:row>0</xdr:row>
      <xdr:rowOff>152400</xdr:rowOff>
    </xdr:from>
    <xdr:to>
      <xdr:col>27</xdr:col>
      <xdr:colOff>609600</xdr:colOff>
      <xdr:row>4</xdr:row>
      <xdr:rowOff>152400</xdr:rowOff>
    </xdr:to>
    <xdr:graphicFrame macro="">
      <xdr:nvGraphicFramePr>
        <xdr:cNvPr id="26" name="Chart 25">
          <a:extLst>
            <a:ext uri="{FF2B5EF4-FFF2-40B4-BE49-F238E27FC236}">
              <a16:creationId xmlns:a16="http://schemas.microsoft.com/office/drawing/2014/main" id="{730D3677-1096-460F-A2C7-35CE7678E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495300</xdr:colOff>
      <xdr:row>1</xdr:row>
      <xdr:rowOff>50800</xdr:rowOff>
    </xdr:from>
    <xdr:to>
      <xdr:col>27</xdr:col>
      <xdr:colOff>602430</xdr:colOff>
      <xdr:row>4</xdr:row>
      <xdr:rowOff>50800</xdr:rowOff>
    </xdr:to>
    <xdr:sp macro="" textlink="">
      <xdr:nvSpPr>
        <xdr:cNvPr id="25" name="Freeform: Shape 24">
          <a:extLst>
            <a:ext uri="{FF2B5EF4-FFF2-40B4-BE49-F238E27FC236}">
              <a16:creationId xmlns:a16="http://schemas.microsoft.com/office/drawing/2014/main" id="{215C8046-4CA7-1181-32E8-406093B75AA5}"/>
            </a:ext>
          </a:extLst>
        </xdr:cNvPr>
        <xdr:cNvSpPr/>
      </xdr:nvSpPr>
      <xdr:spPr>
        <a:xfrm>
          <a:off x="16344900" y="254000"/>
          <a:ext cx="2278830" cy="609600"/>
        </a:xfrm>
        <a:custGeom>
          <a:avLst/>
          <a:gdLst>
            <a:gd name="csX0" fmla="*/ 2163098 w 2615380"/>
            <a:gd name="csY0" fmla="*/ 71283 h 580103"/>
            <a:gd name="csX1" fmla="*/ 2115516 w 2615380"/>
            <a:gd name="csY1" fmla="*/ 206485 h 580103"/>
            <a:gd name="csX2" fmla="*/ 1961536 w 2615380"/>
            <a:gd name="csY2" fmla="*/ 206484 h 580103"/>
            <a:gd name="csX3" fmla="*/ 2086109 w 2615380"/>
            <a:gd name="csY3" fmla="*/ 290043 h 580103"/>
            <a:gd name="csX4" fmla="*/ 2038526 w 2615380"/>
            <a:gd name="csY4" fmla="*/ 425244 h 580103"/>
            <a:gd name="csX5" fmla="*/ 2163098 w 2615380"/>
            <a:gd name="csY5" fmla="*/ 341684 h 580103"/>
            <a:gd name="csX6" fmla="*/ 2287669 w 2615380"/>
            <a:gd name="csY6" fmla="*/ 425244 h 580103"/>
            <a:gd name="csX7" fmla="*/ 2240086 w 2615380"/>
            <a:gd name="csY7" fmla="*/ 290043 h 580103"/>
            <a:gd name="csX8" fmla="*/ 2364659 w 2615380"/>
            <a:gd name="csY8" fmla="*/ 206484 h 580103"/>
            <a:gd name="csX9" fmla="*/ 2210679 w 2615380"/>
            <a:gd name="csY9" fmla="*/ 206485 h 580103"/>
            <a:gd name="csX10" fmla="*/ 1591188 w 2615380"/>
            <a:gd name="csY10" fmla="*/ 71283 h 580103"/>
            <a:gd name="csX11" fmla="*/ 1543606 w 2615380"/>
            <a:gd name="csY11" fmla="*/ 206485 h 580103"/>
            <a:gd name="csX12" fmla="*/ 1389626 w 2615380"/>
            <a:gd name="csY12" fmla="*/ 206484 h 580103"/>
            <a:gd name="csX13" fmla="*/ 1514199 w 2615380"/>
            <a:gd name="csY13" fmla="*/ 290043 h 580103"/>
            <a:gd name="csX14" fmla="*/ 1466616 w 2615380"/>
            <a:gd name="csY14" fmla="*/ 425244 h 580103"/>
            <a:gd name="csX15" fmla="*/ 1591188 w 2615380"/>
            <a:gd name="csY15" fmla="*/ 341684 h 580103"/>
            <a:gd name="csX16" fmla="*/ 1715759 w 2615380"/>
            <a:gd name="csY16" fmla="*/ 425244 h 580103"/>
            <a:gd name="csX17" fmla="*/ 1668176 w 2615380"/>
            <a:gd name="csY17" fmla="*/ 290043 h 580103"/>
            <a:gd name="csX18" fmla="*/ 1792749 w 2615380"/>
            <a:gd name="csY18" fmla="*/ 206484 h 580103"/>
            <a:gd name="csX19" fmla="*/ 1638769 w 2615380"/>
            <a:gd name="csY19" fmla="*/ 206485 h 580103"/>
            <a:gd name="csX20" fmla="*/ 1019278 w 2615380"/>
            <a:gd name="csY20" fmla="*/ 71283 h 580103"/>
            <a:gd name="csX21" fmla="*/ 971696 w 2615380"/>
            <a:gd name="csY21" fmla="*/ 206485 h 580103"/>
            <a:gd name="csX22" fmla="*/ 817716 w 2615380"/>
            <a:gd name="csY22" fmla="*/ 206484 h 580103"/>
            <a:gd name="csX23" fmla="*/ 942289 w 2615380"/>
            <a:gd name="csY23" fmla="*/ 290043 h 580103"/>
            <a:gd name="csX24" fmla="*/ 894706 w 2615380"/>
            <a:gd name="csY24" fmla="*/ 425244 h 580103"/>
            <a:gd name="csX25" fmla="*/ 1019278 w 2615380"/>
            <a:gd name="csY25" fmla="*/ 341684 h 580103"/>
            <a:gd name="csX26" fmla="*/ 1143849 w 2615380"/>
            <a:gd name="csY26" fmla="*/ 425244 h 580103"/>
            <a:gd name="csX27" fmla="*/ 1096266 w 2615380"/>
            <a:gd name="csY27" fmla="*/ 290043 h 580103"/>
            <a:gd name="csX28" fmla="*/ 1220839 w 2615380"/>
            <a:gd name="csY28" fmla="*/ 206484 h 580103"/>
            <a:gd name="csX29" fmla="*/ 1066859 w 2615380"/>
            <a:gd name="csY29" fmla="*/ 206485 h 580103"/>
            <a:gd name="csX30" fmla="*/ 447368 w 2615380"/>
            <a:gd name="csY30" fmla="*/ 71283 h 580103"/>
            <a:gd name="csX31" fmla="*/ 399786 w 2615380"/>
            <a:gd name="csY31" fmla="*/ 206485 h 580103"/>
            <a:gd name="csX32" fmla="*/ 245806 w 2615380"/>
            <a:gd name="csY32" fmla="*/ 206484 h 580103"/>
            <a:gd name="csX33" fmla="*/ 370379 w 2615380"/>
            <a:gd name="csY33" fmla="*/ 290043 h 580103"/>
            <a:gd name="csX34" fmla="*/ 322796 w 2615380"/>
            <a:gd name="csY34" fmla="*/ 425244 h 580103"/>
            <a:gd name="csX35" fmla="*/ 447368 w 2615380"/>
            <a:gd name="csY35" fmla="*/ 341684 h 580103"/>
            <a:gd name="csX36" fmla="*/ 571939 w 2615380"/>
            <a:gd name="csY36" fmla="*/ 425244 h 580103"/>
            <a:gd name="csX37" fmla="*/ 524356 w 2615380"/>
            <a:gd name="csY37" fmla="*/ 290043 h 580103"/>
            <a:gd name="csX38" fmla="*/ 648929 w 2615380"/>
            <a:gd name="csY38" fmla="*/ 206484 h 580103"/>
            <a:gd name="csX39" fmla="*/ 494949 w 2615380"/>
            <a:gd name="csY39" fmla="*/ 206485 h 580103"/>
            <a:gd name="csX40" fmla="*/ 0 w 2615380"/>
            <a:gd name="csY40" fmla="*/ 0 h 580103"/>
            <a:gd name="csX41" fmla="*/ 2615380 w 2615380"/>
            <a:gd name="csY41" fmla="*/ 0 h 580103"/>
            <a:gd name="csX42" fmla="*/ 2615380 w 2615380"/>
            <a:gd name="csY42" fmla="*/ 580103 h 580103"/>
            <a:gd name="csX43" fmla="*/ 0 w 2615380"/>
            <a:gd name="csY43" fmla="*/ 580103 h 5801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615380" h="580103">
              <a:moveTo>
                <a:pt x="2163098" y="71283"/>
              </a:moveTo>
              <a:lnTo>
                <a:pt x="2115516" y="206485"/>
              </a:lnTo>
              <a:lnTo>
                <a:pt x="1961536" y="206484"/>
              </a:lnTo>
              <a:lnTo>
                <a:pt x="2086109" y="290043"/>
              </a:lnTo>
              <a:lnTo>
                <a:pt x="2038526" y="425244"/>
              </a:lnTo>
              <a:lnTo>
                <a:pt x="2163098" y="341684"/>
              </a:lnTo>
              <a:lnTo>
                <a:pt x="2287669" y="425244"/>
              </a:lnTo>
              <a:lnTo>
                <a:pt x="2240086" y="290043"/>
              </a:lnTo>
              <a:lnTo>
                <a:pt x="2364659" y="206484"/>
              </a:lnTo>
              <a:lnTo>
                <a:pt x="2210679" y="206485"/>
              </a:lnTo>
              <a:close/>
              <a:moveTo>
                <a:pt x="1591188" y="71283"/>
              </a:moveTo>
              <a:lnTo>
                <a:pt x="1543606" y="206485"/>
              </a:lnTo>
              <a:lnTo>
                <a:pt x="1389626" y="206484"/>
              </a:lnTo>
              <a:lnTo>
                <a:pt x="1514199" y="290043"/>
              </a:lnTo>
              <a:lnTo>
                <a:pt x="1466616" y="425244"/>
              </a:lnTo>
              <a:lnTo>
                <a:pt x="1591188" y="341684"/>
              </a:lnTo>
              <a:lnTo>
                <a:pt x="1715759" y="425244"/>
              </a:lnTo>
              <a:lnTo>
                <a:pt x="1668176" y="290043"/>
              </a:lnTo>
              <a:lnTo>
                <a:pt x="1792749" y="206484"/>
              </a:lnTo>
              <a:lnTo>
                <a:pt x="1638769" y="206485"/>
              </a:lnTo>
              <a:close/>
              <a:moveTo>
                <a:pt x="1019278" y="71283"/>
              </a:moveTo>
              <a:lnTo>
                <a:pt x="971696" y="206485"/>
              </a:lnTo>
              <a:lnTo>
                <a:pt x="817716" y="206484"/>
              </a:lnTo>
              <a:lnTo>
                <a:pt x="942289" y="290043"/>
              </a:lnTo>
              <a:lnTo>
                <a:pt x="894706" y="425244"/>
              </a:lnTo>
              <a:lnTo>
                <a:pt x="1019278" y="341684"/>
              </a:lnTo>
              <a:lnTo>
                <a:pt x="1143849" y="425244"/>
              </a:lnTo>
              <a:lnTo>
                <a:pt x="1096266" y="290043"/>
              </a:lnTo>
              <a:lnTo>
                <a:pt x="1220839" y="206484"/>
              </a:lnTo>
              <a:lnTo>
                <a:pt x="1066859" y="206485"/>
              </a:lnTo>
              <a:close/>
              <a:moveTo>
                <a:pt x="447368" y="71283"/>
              </a:moveTo>
              <a:lnTo>
                <a:pt x="399786" y="206485"/>
              </a:lnTo>
              <a:lnTo>
                <a:pt x="245806" y="206484"/>
              </a:lnTo>
              <a:lnTo>
                <a:pt x="370379" y="290043"/>
              </a:lnTo>
              <a:lnTo>
                <a:pt x="322796" y="425244"/>
              </a:lnTo>
              <a:lnTo>
                <a:pt x="447368" y="341684"/>
              </a:lnTo>
              <a:lnTo>
                <a:pt x="571939" y="425244"/>
              </a:lnTo>
              <a:lnTo>
                <a:pt x="524356" y="290043"/>
              </a:lnTo>
              <a:lnTo>
                <a:pt x="648929" y="206484"/>
              </a:lnTo>
              <a:lnTo>
                <a:pt x="494949" y="206485"/>
              </a:lnTo>
              <a:close/>
              <a:moveTo>
                <a:pt x="0" y="0"/>
              </a:moveTo>
              <a:lnTo>
                <a:pt x="2615380" y="0"/>
              </a:lnTo>
              <a:lnTo>
                <a:pt x="2615380" y="580103"/>
              </a:lnTo>
              <a:lnTo>
                <a:pt x="0" y="580103"/>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38100</xdr:colOff>
      <xdr:row>17</xdr:row>
      <xdr:rowOff>114300</xdr:rowOff>
    </xdr:from>
    <xdr:to>
      <xdr:col>13</xdr:col>
      <xdr:colOff>215900</xdr:colOff>
      <xdr:row>24</xdr:row>
      <xdr:rowOff>93345</xdr:rowOff>
    </xdr:to>
    <xdr:graphicFrame macro="">
      <xdr:nvGraphicFramePr>
        <xdr:cNvPr id="28" name="Chart 27">
          <a:extLst>
            <a:ext uri="{FF2B5EF4-FFF2-40B4-BE49-F238E27FC236}">
              <a16:creationId xmlns:a16="http://schemas.microsoft.com/office/drawing/2014/main" id="{1B4171CE-B6E1-44C2-A6CA-4EDE015B1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590550</xdr:colOff>
      <xdr:row>17</xdr:row>
      <xdr:rowOff>97155</xdr:rowOff>
    </xdr:from>
    <xdr:to>
      <xdr:col>9</xdr:col>
      <xdr:colOff>63500</xdr:colOff>
      <xdr:row>24</xdr:row>
      <xdr:rowOff>93345</xdr:rowOff>
    </xdr:to>
    <xdr:graphicFrame macro="">
      <xdr:nvGraphicFramePr>
        <xdr:cNvPr id="27" name="Chart 26">
          <a:extLst>
            <a:ext uri="{FF2B5EF4-FFF2-40B4-BE49-F238E27FC236}">
              <a16:creationId xmlns:a16="http://schemas.microsoft.com/office/drawing/2014/main" id="{320C257B-E06F-4C3B-9456-F97F8110C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330200</xdr:colOff>
      <xdr:row>19</xdr:row>
      <xdr:rowOff>152400</xdr:rowOff>
    </xdr:from>
    <xdr:to>
      <xdr:col>8</xdr:col>
      <xdr:colOff>266700</xdr:colOff>
      <xdr:row>21</xdr:row>
      <xdr:rowOff>177800</xdr:rowOff>
    </xdr:to>
    <xdr:sp macro="" textlink="Gender!B9">
      <xdr:nvSpPr>
        <xdr:cNvPr id="57" name="TextBox 56">
          <a:extLst>
            <a:ext uri="{FF2B5EF4-FFF2-40B4-BE49-F238E27FC236}">
              <a16:creationId xmlns:a16="http://schemas.microsoft.com/office/drawing/2014/main" id="{51282E25-FA39-4D38-BD00-F9CB2A4B5262}"/>
            </a:ext>
          </a:extLst>
        </xdr:cNvPr>
        <xdr:cNvSpPr txBox="1"/>
      </xdr:nvSpPr>
      <xdr:spPr>
        <a:xfrm>
          <a:off x="4953000" y="4013200"/>
          <a:ext cx="5969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25FE47-EC64-4604-8F49-FD4C8E5C8433}" type="TxLink">
            <a:rPr lang="en-US" sz="1800" b="1" i="0" u="none" strike="noStrike">
              <a:solidFill>
                <a:srgbClr val="000000"/>
              </a:solidFill>
              <a:latin typeface="Calibri"/>
              <a:ea typeface="Calibri"/>
              <a:cs typeface="Calibri"/>
            </a:rPr>
            <a:pPr algn="ctr"/>
            <a:t>588</a:t>
          </a:fld>
          <a:endParaRPr lang="en-IN" sz="1800" b="1"/>
        </a:p>
      </xdr:txBody>
    </xdr:sp>
    <xdr:clientData/>
  </xdr:twoCellAnchor>
  <xdr:twoCellAnchor>
    <xdr:from>
      <xdr:col>11</xdr:col>
      <xdr:colOff>381000</xdr:colOff>
      <xdr:row>19</xdr:row>
      <xdr:rowOff>177800</xdr:rowOff>
    </xdr:from>
    <xdr:to>
      <xdr:col>12</xdr:col>
      <xdr:colOff>419100</xdr:colOff>
      <xdr:row>21</xdr:row>
      <xdr:rowOff>101600</xdr:rowOff>
    </xdr:to>
    <xdr:sp macro="" textlink="Gender!B10">
      <xdr:nvSpPr>
        <xdr:cNvPr id="58" name="TextBox 57">
          <a:extLst>
            <a:ext uri="{FF2B5EF4-FFF2-40B4-BE49-F238E27FC236}">
              <a16:creationId xmlns:a16="http://schemas.microsoft.com/office/drawing/2014/main" id="{0714F91B-7DFC-4B6E-96AC-794F59605058}"/>
            </a:ext>
          </a:extLst>
        </xdr:cNvPr>
        <xdr:cNvSpPr txBox="1"/>
      </xdr:nvSpPr>
      <xdr:spPr>
        <a:xfrm>
          <a:off x="7645400" y="4038600"/>
          <a:ext cx="6985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35F1C-42B1-45AC-8B58-9989FD01B96E}" type="TxLink">
            <a:rPr lang="en-US" sz="1800" b="1" i="0" u="none" strike="noStrike">
              <a:solidFill>
                <a:srgbClr val="000000"/>
              </a:solidFill>
              <a:latin typeface="Calibri"/>
              <a:ea typeface="Calibri"/>
              <a:cs typeface="Calibri"/>
            </a:rPr>
            <a:pPr algn="ctr"/>
            <a:t>882</a:t>
          </a:fld>
          <a:endParaRPr lang="en-IN" sz="1800" b="1" i="0" u="none" strike="noStrike">
            <a:solidFill>
              <a:srgbClr val="000000"/>
            </a:solidFill>
            <a:latin typeface="Calibri"/>
            <a:ea typeface="Calibri"/>
            <a:cs typeface="Calibri"/>
          </a:endParaRPr>
        </a:p>
      </xdr:txBody>
    </xdr:sp>
    <xdr:clientData/>
  </xdr:twoCellAnchor>
  <xdr:twoCellAnchor editAs="oneCell">
    <xdr:from>
      <xdr:col>8</xdr:col>
      <xdr:colOff>457200</xdr:colOff>
      <xdr:row>14</xdr:row>
      <xdr:rowOff>88901</xdr:rowOff>
    </xdr:from>
    <xdr:to>
      <xdr:col>11</xdr:col>
      <xdr:colOff>304800</xdr:colOff>
      <xdr:row>17</xdr:row>
      <xdr:rowOff>177800</xdr:rowOff>
    </xdr:to>
    <mc:AlternateContent xmlns:mc="http://schemas.openxmlformats.org/markup-compatibility/2006" xmlns:a14="http://schemas.microsoft.com/office/drawing/2010/main">
      <mc:Choice Requires="a14">
        <xdr:graphicFrame macro="">
          <xdr:nvGraphicFramePr>
            <xdr:cNvPr id="54" name="Gender 3">
              <a:extLst>
                <a:ext uri="{FF2B5EF4-FFF2-40B4-BE49-F238E27FC236}">
                  <a16:creationId xmlns:a16="http://schemas.microsoft.com/office/drawing/2014/main" id="{12928F74-21E4-4B2C-957F-CA3B961DC115}"/>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5740400" y="2908301"/>
              <a:ext cx="1828800" cy="698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317500</xdr:colOff>
      <xdr:row>13</xdr:row>
      <xdr:rowOff>190500</xdr:rowOff>
    </xdr:from>
    <xdr:to>
      <xdr:col>21</xdr:col>
      <xdr:colOff>254000</xdr:colOff>
      <xdr:row>26</xdr:row>
      <xdr:rowOff>101600</xdr:rowOff>
    </xdr:to>
    <xdr:graphicFrame macro="">
      <xdr:nvGraphicFramePr>
        <xdr:cNvPr id="55" name="Chart 54">
          <a:extLst>
            <a:ext uri="{FF2B5EF4-FFF2-40B4-BE49-F238E27FC236}">
              <a16:creationId xmlns:a16="http://schemas.microsoft.com/office/drawing/2014/main" id="{DCCD7394-5C16-4168-88B5-951DCA0E7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330200</xdr:colOff>
      <xdr:row>11</xdr:row>
      <xdr:rowOff>63500</xdr:rowOff>
    </xdr:from>
    <xdr:to>
      <xdr:col>12</xdr:col>
      <xdr:colOff>571500</xdr:colOff>
      <xdr:row>13</xdr:row>
      <xdr:rowOff>25400</xdr:rowOff>
    </xdr:to>
    <xdr:sp macro="" textlink="">
      <xdr:nvSpPr>
        <xdr:cNvPr id="59" name="TextBox 58">
          <a:extLst>
            <a:ext uri="{FF2B5EF4-FFF2-40B4-BE49-F238E27FC236}">
              <a16:creationId xmlns:a16="http://schemas.microsoft.com/office/drawing/2014/main" id="{88DD679E-8CAF-0E9F-203A-3798B96B5C7C}"/>
            </a:ext>
          </a:extLst>
        </xdr:cNvPr>
        <xdr:cNvSpPr txBox="1"/>
      </xdr:nvSpPr>
      <xdr:spPr>
        <a:xfrm>
          <a:off x="4953000" y="2298700"/>
          <a:ext cx="35433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6">
                  <a:lumMod val="50000"/>
                </a:schemeClr>
              </a:solidFill>
            </a:rPr>
            <a:t>Total Employees by Gender</a:t>
          </a:r>
        </a:p>
      </xdr:txBody>
    </xdr:sp>
    <xdr:clientData/>
  </xdr:twoCellAnchor>
  <xdr:twoCellAnchor>
    <xdr:from>
      <xdr:col>13</xdr:col>
      <xdr:colOff>444500</xdr:colOff>
      <xdr:row>11</xdr:row>
      <xdr:rowOff>50800</xdr:rowOff>
    </xdr:from>
    <xdr:to>
      <xdr:col>19</xdr:col>
      <xdr:colOff>25400</xdr:colOff>
      <xdr:row>13</xdr:row>
      <xdr:rowOff>25400</xdr:rowOff>
    </xdr:to>
    <xdr:sp macro="" textlink="">
      <xdr:nvSpPr>
        <xdr:cNvPr id="60" name="TextBox 59">
          <a:extLst>
            <a:ext uri="{FF2B5EF4-FFF2-40B4-BE49-F238E27FC236}">
              <a16:creationId xmlns:a16="http://schemas.microsoft.com/office/drawing/2014/main" id="{BBA1CEA6-1B5E-46FF-9B7B-DFA84B9B812A}"/>
            </a:ext>
          </a:extLst>
        </xdr:cNvPr>
        <xdr:cNvSpPr txBox="1"/>
      </xdr:nvSpPr>
      <xdr:spPr>
        <a:xfrm>
          <a:off x="9029700" y="2286000"/>
          <a:ext cx="3543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6">
                  <a:lumMod val="50000"/>
                </a:schemeClr>
              </a:solidFill>
            </a:rPr>
            <a:t>Education</a:t>
          </a:r>
          <a:r>
            <a:rPr lang="en-IN" sz="1800" b="1" baseline="0">
              <a:solidFill>
                <a:schemeClr val="accent6">
                  <a:lumMod val="50000"/>
                </a:schemeClr>
              </a:solidFill>
            </a:rPr>
            <a:t> by Attrition</a:t>
          </a:r>
        </a:p>
        <a:p>
          <a:pPr algn="ctr"/>
          <a:endParaRPr lang="en-IN" sz="1800" b="1">
            <a:solidFill>
              <a:schemeClr val="accent6">
                <a:lumMod val="50000"/>
              </a:schemeClr>
            </a:solidFill>
          </a:endParaRPr>
        </a:p>
      </xdr:txBody>
    </xdr:sp>
    <xdr:clientData/>
  </xdr:twoCellAnchor>
  <xdr:twoCellAnchor>
    <xdr:from>
      <xdr:col>21</xdr:col>
      <xdr:colOff>425450</xdr:colOff>
      <xdr:row>13</xdr:row>
      <xdr:rowOff>127000</xdr:rowOff>
    </xdr:from>
    <xdr:to>
      <xdr:col>28</xdr:col>
      <xdr:colOff>190500</xdr:colOff>
      <xdr:row>26</xdr:row>
      <xdr:rowOff>38100</xdr:rowOff>
    </xdr:to>
    <mc:AlternateContent xmlns:mc="http://schemas.openxmlformats.org/markup-compatibility/2006">
      <mc:Choice xmlns:cx1="http://schemas.microsoft.com/office/drawing/2015/9/8/chartex" Requires="cx1">
        <xdr:graphicFrame macro="">
          <xdr:nvGraphicFramePr>
            <xdr:cNvPr id="61" name="Chart 60">
              <a:extLst>
                <a:ext uri="{FF2B5EF4-FFF2-40B4-BE49-F238E27FC236}">
                  <a16:creationId xmlns:a16="http://schemas.microsoft.com/office/drawing/2014/main" id="{915C1CEB-2F83-4A2A-A01C-F6B0673E62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4187170" y="2702560"/>
              <a:ext cx="4748530" cy="2418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508000</xdr:colOff>
      <xdr:row>11</xdr:row>
      <xdr:rowOff>38100</xdr:rowOff>
    </xdr:from>
    <xdr:to>
      <xdr:col>26</xdr:col>
      <xdr:colOff>749300</xdr:colOff>
      <xdr:row>13</xdr:row>
      <xdr:rowOff>12700</xdr:rowOff>
    </xdr:to>
    <xdr:sp macro="" textlink="">
      <xdr:nvSpPr>
        <xdr:cNvPr id="63" name="TextBox 62">
          <a:extLst>
            <a:ext uri="{FF2B5EF4-FFF2-40B4-BE49-F238E27FC236}">
              <a16:creationId xmlns:a16="http://schemas.microsoft.com/office/drawing/2014/main" id="{C6A34B09-D61E-40CD-B7F1-23AC8FEDB6F8}"/>
            </a:ext>
          </a:extLst>
        </xdr:cNvPr>
        <xdr:cNvSpPr txBox="1"/>
      </xdr:nvSpPr>
      <xdr:spPr>
        <a:xfrm>
          <a:off x="14376400" y="2273300"/>
          <a:ext cx="3543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6">
                  <a:lumMod val="50000"/>
                </a:schemeClr>
              </a:solidFill>
            </a:rPr>
            <a:t>Education</a:t>
          </a:r>
          <a:r>
            <a:rPr lang="en-IN" sz="1800" b="1" baseline="0">
              <a:solidFill>
                <a:schemeClr val="accent6">
                  <a:lumMod val="50000"/>
                </a:schemeClr>
              </a:solidFill>
            </a:rPr>
            <a:t> by Job Role</a:t>
          </a:r>
        </a:p>
        <a:p>
          <a:pPr algn="ctr"/>
          <a:endParaRPr lang="en-IN" sz="1800" b="1" baseline="0">
            <a:solidFill>
              <a:schemeClr val="accent6">
                <a:lumMod val="50000"/>
              </a:schemeClr>
            </a:solidFill>
          </a:endParaRPr>
        </a:p>
        <a:p>
          <a:pPr algn="ctr"/>
          <a:endParaRPr lang="en-IN" sz="1800" b="1">
            <a:solidFill>
              <a:schemeClr val="accent6">
                <a:lumMod val="50000"/>
              </a:schemeClr>
            </a:solidFill>
          </a:endParaRPr>
        </a:p>
      </xdr:txBody>
    </xdr:sp>
    <xdr:clientData/>
  </xdr:twoCellAnchor>
  <xdr:twoCellAnchor>
    <xdr:from>
      <xdr:col>6</xdr:col>
      <xdr:colOff>635000</xdr:colOff>
      <xdr:row>29</xdr:row>
      <xdr:rowOff>76200</xdr:rowOff>
    </xdr:from>
    <xdr:to>
      <xdr:col>13</xdr:col>
      <xdr:colOff>127000</xdr:colOff>
      <xdr:row>41</xdr:row>
      <xdr:rowOff>165100</xdr:rowOff>
    </xdr:to>
    <xdr:graphicFrame macro="">
      <xdr:nvGraphicFramePr>
        <xdr:cNvPr id="65" name="Chart 64">
          <a:extLst>
            <a:ext uri="{FF2B5EF4-FFF2-40B4-BE49-F238E27FC236}">
              <a16:creationId xmlns:a16="http://schemas.microsoft.com/office/drawing/2014/main" id="{0AE0F9A1-8962-4045-9C9F-9FD39311D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584200</xdr:colOff>
      <xdr:row>26</xdr:row>
      <xdr:rowOff>177800</xdr:rowOff>
    </xdr:from>
    <xdr:to>
      <xdr:col>12</xdr:col>
      <xdr:colOff>165100</xdr:colOff>
      <xdr:row>28</xdr:row>
      <xdr:rowOff>177800</xdr:rowOff>
    </xdr:to>
    <xdr:sp macro="" textlink="">
      <xdr:nvSpPr>
        <xdr:cNvPr id="66" name="TextBox 65">
          <a:extLst>
            <a:ext uri="{FF2B5EF4-FFF2-40B4-BE49-F238E27FC236}">
              <a16:creationId xmlns:a16="http://schemas.microsoft.com/office/drawing/2014/main" id="{3F544A89-D4E0-48BB-A296-D67A63501B1F}"/>
            </a:ext>
          </a:extLst>
        </xdr:cNvPr>
        <xdr:cNvSpPr txBox="1"/>
      </xdr:nvSpPr>
      <xdr:spPr>
        <a:xfrm>
          <a:off x="4546600" y="5359400"/>
          <a:ext cx="3543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baseline="0">
              <a:solidFill>
                <a:schemeClr val="accent6">
                  <a:lumMod val="50000"/>
                </a:schemeClr>
              </a:solidFill>
            </a:rPr>
            <a:t>Department wise Attrition</a:t>
          </a: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a:solidFill>
              <a:schemeClr val="accent6">
                <a:lumMod val="50000"/>
              </a:schemeClr>
            </a:solidFill>
          </a:endParaRPr>
        </a:p>
      </xdr:txBody>
    </xdr:sp>
    <xdr:clientData/>
  </xdr:twoCellAnchor>
  <xdr:twoCellAnchor>
    <xdr:from>
      <xdr:col>13</xdr:col>
      <xdr:colOff>368300</xdr:colOff>
      <xdr:row>29</xdr:row>
      <xdr:rowOff>114300</xdr:rowOff>
    </xdr:from>
    <xdr:to>
      <xdr:col>19</xdr:col>
      <xdr:colOff>228600</xdr:colOff>
      <xdr:row>41</xdr:row>
      <xdr:rowOff>152400</xdr:rowOff>
    </xdr:to>
    <xdr:graphicFrame macro="">
      <xdr:nvGraphicFramePr>
        <xdr:cNvPr id="67" name="Chart 66">
          <a:extLst>
            <a:ext uri="{FF2B5EF4-FFF2-40B4-BE49-F238E27FC236}">
              <a16:creationId xmlns:a16="http://schemas.microsoft.com/office/drawing/2014/main" id="{1612ED07-5480-4BDB-9661-A547499C2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228600</xdr:colOff>
      <xdr:row>26</xdr:row>
      <xdr:rowOff>152400</xdr:rowOff>
    </xdr:from>
    <xdr:to>
      <xdr:col>18</xdr:col>
      <xdr:colOff>469900</xdr:colOff>
      <xdr:row>28</xdr:row>
      <xdr:rowOff>152400</xdr:rowOff>
    </xdr:to>
    <xdr:sp macro="" textlink="">
      <xdr:nvSpPr>
        <xdr:cNvPr id="68" name="TextBox 67">
          <a:extLst>
            <a:ext uri="{FF2B5EF4-FFF2-40B4-BE49-F238E27FC236}">
              <a16:creationId xmlns:a16="http://schemas.microsoft.com/office/drawing/2014/main" id="{4A146A6E-8F6B-4F34-AF27-7935DDC310D8}"/>
            </a:ext>
          </a:extLst>
        </xdr:cNvPr>
        <xdr:cNvSpPr txBox="1"/>
      </xdr:nvSpPr>
      <xdr:spPr>
        <a:xfrm>
          <a:off x="8813800" y="5334000"/>
          <a:ext cx="3543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baseline="0">
              <a:solidFill>
                <a:schemeClr val="accent6">
                  <a:lumMod val="50000"/>
                </a:schemeClr>
              </a:solidFill>
            </a:rPr>
            <a:t>Attrition by Age Group</a:t>
          </a: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a:solidFill>
              <a:schemeClr val="accent6">
                <a:lumMod val="50000"/>
              </a:schemeClr>
            </a:solidFill>
          </a:endParaRPr>
        </a:p>
      </xdr:txBody>
    </xdr:sp>
    <xdr:clientData/>
  </xdr:twoCellAnchor>
  <xdr:twoCellAnchor>
    <xdr:from>
      <xdr:col>19</xdr:col>
      <xdr:colOff>355600</xdr:colOff>
      <xdr:row>29</xdr:row>
      <xdr:rowOff>50800</xdr:rowOff>
    </xdr:from>
    <xdr:to>
      <xdr:col>24</xdr:col>
      <xdr:colOff>139700</xdr:colOff>
      <xdr:row>42</xdr:row>
      <xdr:rowOff>0</xdr:rowOff>
    </xdr:to>
    <mc:AlternateContent xmlns:mc="http://schemas.openxmlformats.org/markup-compatibility/2006">
      <mc:Choice xmlns:cx2="http://schemas.microsoft.com/office/drawing/2015/10/21/chartex" Requires="cx2">
        <xdr:graphicFrame macro="">
          <xdr:nvGraphicFramePr>
            <xdr:cNvPr id="70" name="Chart 69">
              <a:extLst>
                <a:ext uri="{FF2B5EF4-FFF2-40B4-BE49-F238E27FC236}">
                  <a16:creationId xmlns:a16="http://schemas.microsoft.com/office/drawing/2014/main" id="{A79D0665-26B8-4D5E-B56C-93E7537CF2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2806680" y="5704840"/>
              <a:ext cx="3060700" cy="2425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635000</xdr:colOff>
      <xdr:row>26</xdr:row>
      <xdr:rowOff>152400</xdr:rowOff>
    </xdr:from>
    <xdr:to>
      <xdr:col>24</xdr:col>
      <xdr:colOff>215900</xdr:colOff>
      <xdr:row>28</xdr:row>
      <xdr:rowOff>152400</xdr:rowOff>
    </xdr:to>
    <xdr:sp macro="" textlink="">
      <xdr:nvSpPr>
        <xdr:cNvPr id="71" name="TextBox 70">
          <a:extLst>
            <a:ext uri="{FF2B5EF4-FFF2-40B4-BE49-F238E27FC236}">
              <a16:creationId xmlns:a16="http://schemas.microsoft.com/office/drawing/2014/main" id="{0A7FBF92-F2E9-46C6-BAE5-11BDBD8782CD}"/>
            </a:ext>
          </a:extLst>
        </xdr:cNvPr>
        <xdr:cNvSpPr txBox="1"/>
      </xdr:nvSpPr>
      <xdr:spPr>
        <a:xfrm>
          <a:off x="12522200" y="5334000"/>
          <a:ext cx="35433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baseline="0">
              <a:solidFill>
                <a:schemeClr val="accent6">
                  <a:lumMod val="50000"/>
                </a:schemeClr>
              </a:solidFill>
            </a:rPr>
            <a:t>Attrition by Maritial Status</a:t>
          </a: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a:solidFill>
              <a:schemeClr val="accent6">
                <a:lumMod val="50000"/>
              </a:schemeClr>
            </a:solidFill>
          </a:endParaRPr>
        </a:p>
      </xdr:txBody>
    </xdr:sp>
    <xdr:clientData/>
  </xdr:twoCellAnchor>
  <xdr:twoCellAnchor editAs="oneCell">
    <xdr:from>
      <xdr:col>27</xdr:col>
      <xdr:colOff>38100</xdr:colOff>
      <xdr:row>30</xdr:row>
      <xdr:rowOff>177801</xdr:rowOff>
    </xdr:from>
    <xdr:to>
      <xdr:col>28</xdr:col>
      <xdr:colOff>241300</xdr:colOff>
      <xdr:row>37</xdr:row>
      <xdr:rowOff>127000</xdr:rowOff>
    </xdr:to>
    <mc:AlternateContent xmlns:mc="http://schemas.openxmlformats.org/markup-compatibility/2006" xmlns:a14="http://schemas.microsoft.com/office/drawing/2010/main">
      <mc:Choice Requires="a14">
        <xdr:graphicFrame macro="">
          <xdr:nvGraphicFramePr>
            <xdr:cNvPr id="72" name="Department 1">
              <a:extLst>
                <a:ext uri="{FF2B5EF4-FFF2-40B4-BE49-F238E27FC236}">
                  <a16:creationId xmlns:a16="http://schemas.microsoft.com/office/drawing/2014/main" id="{7757F54A-33E1-44D7-A8D8-6D53CB9BAB2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059400" y="6121401"/>
              <a:ext cx="1054100" cy="1282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337820</xdr:colOff>
      <xdr:row>30</xdr:row>
      <xdr:rowOff>165100</xdr:rowOff>
    </xdr:from>
    <xdr:to>
      <xdr:col>26</xdr:col>
      <xdr:colOff>673100</xdr:colOff>
      <xdr:row>41</xdr:row>
      <xdr:rowOff>165100</xdr:rowOff>
    </xdr:to>
    <mc:AlternateContent xmlns:mc="http://schemas.openxmlformats.org/markup-compatibility/2006" xmlns:a14="http://schemas.microsoft.com/office/drawing/2010/main">
      <mc:Choice Requires="a14">
        <xdr:graphicFrame macro="">
          <xdr:nvGraphicFramePr>
            <xdr:cNvPr id="73" name="Education Field 3">
              <a:extLst>
                <a:ext uri="{FF2B5EF4-FFF2-40B4-BE49-F238E27FC236}">
                  <a16:creationId xmlns:a16="http://schemas.microsoft.com/office/drawing/2014/main" id="{D363C0D4-906F-4CC4-8BD8-316EDB404778}"/>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6187420" y="6108700"/>
              <a:ext cx="165608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342900</xdr:colOff>
      <xdr:row>29</xdr:row>
      <xdr:rowOff>88900</xdr:rowOff>
    </xdr:from>
    <xdr:to>
      <xdr:col>26</xdr:col>
      <xdr:colOff>381000</xdr:colOff>
      <xdr:row>31</xdr:row>
      <xdr:rowOff>25400</xdr:rowOff>
    </xdr:to>
    <xdr:sp macro="" textlink="">
      <xdr:nvSpPr>
        <xdr:cNvPr id="74" name="TextBox 73">
          <a:extLst>
            <a:ext uri="{FF2B5EF4-FFF2-40B4-BE49-F238E27FC236}">
              <a16:creationId xmlns:a16="http://schemas.microsoft.com/office/drawing/2014/main" id="{133C3963-6086-46CB-A4A7-13F7D1EFB17B}"/>
            </a:ext>
          </a:extLst>
        </xdr:cNvPr>
        <xdr:cNvSpPr txBox="1"/>
      </xdr:nvSpPr>
      <xdr:spPr>
        <a:xfrm>
          <a:off x="16192500" y="5842000"/>
          <a:ext cx="13589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chemeClr val="accent6">
                  <a:lumMod val="50000"/>
                </a:schemeClr>
              </a:solidFill>
            </a:rPr>
            <a:t>Education Field</a:t>
          </a: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a:solidFill>
              <a:schemeClr val="accent6">
                <a:lumMod val="50000"/>
              </a:schemeClr>
            </a:solidFill>
          </a:endParaRPr>
        </a:p>
      </xdr:txBody>
    </xdr:sp>
    <xdr:clientData/>
  </xdr:twoCellAnchor>
  <xdr:twoCellAnchor>
    <xdr:from>
      <xdr:col>26</xdr:col>
      <xdr:colOff>647700</xdr:colOff>
      <xdr:row>29</xdr:row>
      <xdr:rowOff>63500</xdr:rowOff>
    </xdr:from>
    <xdr:to>
      <xdr:col>28</xdr:col>
      <xdr:colOff>304800</xdr:colOff>
      <xdr:row>31</xdr:row>
      <xdr:rowOff>12700</xdr:rowOff>
    </xdr:to>
    <xdr:sp macro="" textlink="">
      <xdr:nvSpPr>
        <xdr:cNvPr id="75" name="TextBox 74">
          <a:extLst>
            <a:ext uri="{FF2B5EF4-FFF2-40B4-BE49-F238E27FC236}">
              <a16:creationId xmlns:a16="http://schemas.microsoft.com/office/drawing/2014/main" id="{153606F5-AC09-42A0-867C-62744C14D93E}"/>
            </a:ext>
          </a:extLst>
        </xdr:cNvPr>
        <xdr:cNvSpPr txBox="1"/>
      </xdr:nvSpPr>
      <xdr:spPr>
        <a:xfrm>
          <a:off x="17818100" y="5816600"/>
          <a:ext cx="13589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chemeClr val="accent6">
                  <a:lumMod val="50000"/>
                </a:schemeClr>
              </a:solidFill>
            </a:rPr>
            <a:t>Departments</a:t>
          </a: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baseline="0">
            <a:solidFill>
              <a:schemeClr val="accent6">
                <a:lumMod val="50000"/>
              </a:schemeClr>
            </a:solidFill>
          </a:endParaRPr>
        </a:p>
        <a:p>
          <a:pPr algn="ctr"/>
          <a:endParaRPr lang="en-IN" sz="1800" b="1">
            <a:solidFill>
              <a:schemeClr val="accent6">
                <a:lumMod val="50000"/>
              </a:schemeClr>
            </a:solidFill>
          </a:endParaRPr>
        </a:p>
      </xdr:txBody>
    </xdr:sp>
    <xdr:clientData/>
  </xdr:twoCellAnchor>
  <xdr:twoCellAnchor editAs="oneCell">
    <xdr:from>
      <xdr:col>9</xdr:col>
      <xdr:colOff>38099</xdr:colOff>
      <xdr:row>17</xdr:row>
      <xdr:rowOff>165100</xdr:rowOff>
    </xdr:from>
    <xdr:to>
      <xdr:col>11</xdr:col>
      <xdr:colOff>38100</xdr:colOff>
      <xdr:row>23</xdr:row>
      <xdr:rowOff>152400</xdr:rowOff>
    </xdr:to>
    <xdr:pic>
      <xdr:nvPicPr>
        <xdr:cNvPr id="77" name="Picture 76">
          <a:extLst>
            <a:ext uri="{FF2B5EF4-FFF2-40B4-BE49-F238E27FC236}">
              <a16:creationId xmlns:a16="http://schemas.microsoft.com/office/drawing/2014/main" id="{47A971CB-104B-8BC2-F5D2-B1EDBBB79327}"/>
            </a:ext>
          </a:extLst>
        </xdr:cNvPr>
        <xdr:cNvPicPr>
          <a:picLocks noChangeAspect="1"/>
        </xdr:cNvPicPr>
      </xdr:nvPicPr>
      <xdr:blipFill>
        <a:blip xmlns:r="http://schemas.openxmlformats.org/officeDocument/2006/relationships" r:embed="rId17">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5981699" y="3594100"/>
          <a:ext cx="1320801" cy="1168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n Saurav" refreshedDate="46077.39558715278" createdVersion="8" refreshedVersion="8" minRefreshableVersion="3" recordCount="1470" xr:uid="{777DAC44-03FF-479B-8BFD-7273C9743443}">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93504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D4902-3AB6-4C75-9555-C07259CB1DE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5">
    <format dxfId="5">
      <pivotArea dataOnly="0" labelOnly="1" outline="0" axis="axisValues" fieldPosition="0"/>
    </format>
    <format dxfId="4">
      <pivotArea dataOnly="0" labelOnly="1" outline="0" fieldPosition="0">
        <references count="1">
          <reference field="4294967294" count="1">
            <x v="0"/>
          </reference>
        </references>
      </pivotArea>
    </format>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1">
            <x v="1"/>
          </reference>
        </references>
      </pivotArea>
    </format>
    <format dxfId="1">
      <pivotArea dataOnly="0" labelOnly="1" outline="0" fieldPosition="0">
        <references count="1">
          <reference field="4294967294" count="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F72AAE-A341-4CD4-9E6D-53C50743B1C0}"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5"/>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D767E5-1B29-4047-ABB9-8E9EC6C6EA30}"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B375AB-012A-448D-A2FC-CA681FE2DA8B}"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C96D3E-D23D-4F88-A287-CB0D4E68EB2E}"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4C60E1-9564-432D-B63B-70A25B3D30F6}"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3B81AF-CE74-4836-B3B3-4897141CACDA}"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C62098-BC93-48FE-97C6-D8FB72A0C8EE}" name="Marati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24EB08EA-3FF4-4CD8-9000-FD65385147C1}" sourceName="Gender">
  <pivotTables>
    <pivotTable tabId="9" name="Gender"/>
    <pivotTable tabId="14" name="Attrition by Age group"/>
    <pivotTable tabId="11" name="Attrition by Job"/>
    <pivotTable tabId="12" name="Department wise Attrition"/>
    <pivotTable tabId="10" name="EDucation by Attrition"/>
    <pivotTable tabId="7" name="KPI"/>
    <pivotTable tabId="15" name="Maratial status"/>
    <pivotTable tabId="8" name="Rating"/>
  </pivotTables>
  <data>
    <tabular pivotCacheId="15935047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4128BB-5648-4222-8F56-7E469D2444CE}" sourceName="Department">
  <pivotTables>
    <pivotTable tabId="14" name="Attrition by Age group"/>
    <pivotTable tabId="11" name="Attrition by Job"/>
    <pivotTable tabId="12" name="Department wise Attrition"/>
    <pivotTable tabId="10" name="EDucation by Attrition"/>
    <pivotTable tabId="9" name="Gender"/>
    <pivotTable tabId="7" name="KPI"/>
    <pivotTable tabId="15" name="Maratial status"/>
    <pivotTable tabId="8" name="Rating"/>
  </pivotTables>
  <data>
    <tabular pivotCacheId="159350472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07C27BBE-7C5C-4A86-AC7D-C4B1D3C94B84}" sourceName="Education Field">
  <pivotTables>
    <pivotTable tabId="14" name="Attrition by Age group"/>
    <pivotTable tabId="11" name="Attrition by Job"/>
    <pivotTable tabId="12" name="Department wise Attrition"/>
    <pivotTable tabId="10" name="EDucation by Attrition"/>
    <pivotTable tabId="9" name="Gender"/>
    <pivotTable tabId="7" name="KPI"/>
    <pivotTable tabId="15" name="Maratial status"/>
    <pivotTable tabId="8" name="Rating"/>
  </pivotTables>
  <data>
    <tabular pivotCacheId="159350472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A46E8BF-35C1-45CF-8B1C-58D8E7992801}"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A0F666E-D13B-4B03-9809-CBABCAA8D9C0}" cache="Slicer_Gender2" caption="Gender" rowHeight="260350"/>
  <slicer name="Education Field" xr10:uid="{A6528E98-6914-4B33-BAA7-87C95728E2FD}"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DC504172-1952-4F95-98B5-6E039247680B}" cache="Slicer_Gender2" caption="Gender" rowHeight="260350"/>
  <slicer name="Education Field 1" xr10:uid="{4D80D378-112A-4E6C-ADBD-F6DD638A0C75}"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DF996B1-6416-4081-AFE2-8E6D621B9510}" cache="Slicer_Department" caption="Department" rowHeight="260350"/>
  <slicer name="Education Field 2" xr10:uid="{7ABC540B-CA95-4826-B0B0-EDD6433F6D2A}"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2707E5F9-7D28-4C9F-89F5-94BF54834D9A}" cache="Slicer_Gender2" caption="Gender" columnCount="2" style="Slicer Style 1" rowHeight="260350"/>
  <slicer name="Department 1" xr10:uid="{895B1D2F-2E67-4A43-B4BC-104FA452D12B}" cache="Slicer_Department" style="Slicer Style 1" rowHeight="260350"/>
  <slicer name="Education Field 3" xr10:uid="{28A127C8-D466-4757-9043-8C097B73F12D}" cache="Slicer_Education_Field2"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B015-E9CF-454D-84C5-4AF2038E03ED}">
  <dimension ref="A3:E8"/>
  <sheetViews>
    <sheetView workbookViewId="0">
      <selection activeCell="E8" sqref="E8"/>
    </sheetView>
  </sheetViews>
  <sheetFormatPr defaultRowHeight="15.6" x14ac:dyDescent="0.3"/>
  <cols>
    <col min="1" max="1" width="24.5" bestFit="1" customWidth="1"/>
    <col min="2" max="2" width="22.796875" bestFit="1" customWidth="1"/>
    <col min="3" max="3" width="13.5" bestFit="1" customWidth="1"/>
    <col min="4" max="4" width="16.19921875" customWidth="1"/>
    <col min="5" max="5" width="13.5" customWidth="1"/>
  </cols>
  <sheetData>
    <row r="3" spans="1:5" x14ac:dyDescent="0.3">
      <c r="A3" s="2" t="s">
        <v>1554</v>
      </c>
      <c r="B3" s="4" t="s">
        <v>1555</v>
      </c>
      <c r="C3" s="5" t="s">
        <v>1556</v>
      </c>
    </row>
    <row r="4" spans="1:5" x14ac:dyDescent="0.3">
      <c r="A4" s="22">
        <v>1470</v>
      </c>
      <c r="B4" s="23">
        <v>237</v>
      </c>
      <c r="C4" s="24">
        <v>36.923809523809524</v>
      </c>
    </row>
    <row r="7" spans="1:5" x14ac:dyDescent="0.3">
      <c r="A7" s="3" t="s">
        <v>1557</v>
      </c>
      <c r="B7" s="3" t="s">
        <v>1558</v>
      </c>
      <c r="C7" s="3" t="s">
        <v>1559</v>
      </c>
      <c r="D7" s="3" t="s">
        <v>1560</v>
      </c>
      <c r="E7" s="3" t="s">
        <v>1561</v>
      </c>
    </row>
    <row r="8" spans="1:5" x14ac:dyDescent="0.3">
      <c r="A8">
        <f>GETPIVOTDATA("Count of Employee Number",$A$3)</f>
        <v>1470</v>
      </c>
      <c r="B8">
        <f>GETPIVOTDATA("Sum of CF_attrition count",$A$3)</f>
        <v>237</v>
      </c>
      <c r="C8" s="6">
        <f>GETPIVOTDATA("Average of Age",$A$3)</f>
        <v>36.923809523809524</v>
      </c>
      <c r="D8">
        <f>A8-B8</f>
        <v>1233</v>
      </c>
      <c r="E8" s="7">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E5B5-C267-4768-B3EB-ED5FB68EDE80}">
  <dimension ref="A3:C8"/>
  <sheetViews>
    <sheetView workbookViewId="0">
      <selection activeCell="A4" sqref="A4"/>
    </sheetView>
  </sheetViews>
  <sheetFormatPr defaultRowHeight="15.6" x14ac:dyDescent="0.3"/>
  <cols>
    <col min="1" max="1" width="23.59765625" bestFit="1" customWidth="1"/>
  </cols>
  <sheetData>
    <row r="3" spans="1:3" x14ac:dyDescent="0.3">
      <c r="A3" s="9" t="s">
        <v>1562</v>
      </c>
    </row>
    <row r="4" spans="1:3" x14ac:dyDescent="0.3">
      <c r="A4" s="10">
        <v>2.6265306122448981</v>
      </c>
    </row>
    <row r="7" spans="1:3" x14ac:dyDescent="0.3">
      <c r="A7" t="s">
        <v>1563</v>
      </c>
      <c r="B7" s="11">
        <f>GETPIVOTDATA("Job Satisfaction",$A$3)</f>
        <v>2.6265306122448981</v>
      </c>
      <c r="C7">
        <f>B7/4</f>
        <v>0.65663265306122454</v>
      </c>
    </row>
    <row r="8" spans="1:3" x14ac:dyDescent="0.3">
      <c r="A8" t="s">
        <v>1564</v>
      </c>
      <c r="B8" s="11">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0D43-E2E5-4B94-9173-9D935346132F}">
  <dimension ref="A3:C10"/>
  <sheetViews>
    <sheetView workbookViewId="0">
      <selection activeCell="F6" sqref="F6"/>
    </sheetView>
  </sheetViews>
  <sheetFormatPr defaultRowHeight="15.6" x14ac:dyDescent="0.3"/>
  <cols>
    <col min="1" max="1" width="12.19921875" bestFit="1" customWidth="1"/>
    <col min="2" max="2" width="22.796875" bestFit="1" customWidth="1"/>
  </cols>
  <sheetData>
    <row r="3" spans="1:3" x14ac:dyDescent="0.3">
      <c r="A3" s="12" t="s">
        <v>1565</v>
      </c>
      <c r="B3" s="9" t="s">
        <v>1567</v>
      </c>
    </row>
    <row r="4" spans="1:3" x14ac:dyDescent="0.3">
      <c r="A4" s="13" t="s">
        <v>51</v>
      </c>
      <c r="B4" s="9">
        <v>588</v>
      </c>
    </row>
    <row r="5" spans="1:3" x14ac:dyDescent="0.3">
      <c r="A5" s="14" t="s">
        <v>62</v>
      </c>
      <c r="B5" s="17">
        <v>882</v>
      </c>
    </row>
    <row r="6" spans="1:3" x14ac:dyDescent="0.3">
      <c r="A6" s="15" t="s">
        <v>1566</v>
      </c>
      <c r="B6" s="18">
        <v>1470</v>
      </c>
    </row>
    <row r="9" spans="1:3" x14ac:dyDescent="0.3">
      <c r="A9" s="16" t="s">
        <v>51</v>
      </c>
      <c r="B9">
        <f>IFERROR(GETPIVOTDATA("Employee Count",$A$3,"Gender","Female"),0)</f>
        <v>588</v>
      </c>
      <c r="C9" s="7">
        <f>IFERROR(B9/($B$9+$B$10),0)</f>
        <v>0.4</v>
      </c>
    </row>
    <row r="10" spans="1:3" x14ac:dyDescent="0.3">
      <c r="A10" s="16" t="s">
        <v>62</v>
      </c>
      <c r="B10">
        <f>IFERROR(GETPIVOTDATA("Employee Count",$A$3,"Gender","Male"),0)</f>
        <v>882</v>
      </c>
      <c r="C10" s="7">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7147-5F9E-4CAF-960A-15BBDB3837EC}">
  <dimension ref="A3:B9"/>
  <sheetViews>
    <sheetView workbookViewId="0">
      <selection activeCell="B5" sqref="B5"/>
    </sheetView>
  </sheetViews>
  <sheetFormatPr defaultRowHeight="15.6" x14ac:dyDescent="0.3"/>
  <cols>
    <col min="1" max="1" width="16" bestFit="1" customWidth="1"/>
    <col min="2" max="2" width="22.796875" bestFit="1" customWidth="1"/>
  </cols>
  <sheetData>
    <row r="3" spans="1:2" x14ac:dyDescent="0.3">
      <c r="A3" s="12" t="s">
        <v>1565</v>
      </c>
      <c r="B3" s="9" t="s">
        <v>1555</v>
      </c>
    </row>
    <row r="4" spans="1:2" x14ac:dyDescent="0.3">
      <c r="A4" s="13" t="s">
        <v>134</v>
      </c>
      <c r="B4" s="9">
        <v>5</v>
      </c>
    </row>
    <row r="5" spans="1:2" x14ac:dyDescent="0.3">
      <c r="A5" s="14" t="s">
        <v>65</v>
      </c>
      <c r="B5" s="17">
        <v>31</v>
      </c>
    </row>
    <row r="6" spans="1:2" x14ac:dyDescent="0.3">
      <c r="A6" s="14" t="s">
        <v>55</v>
      </c>
      <c r="B6" s="17">
        <v>44</v>
      </c>
    </row>
    <row r="7" spans="1:2" x14ac:dyDescent="0.3">
      <c r="A7" s="14" t="s">
        <v>71</v>
      </c>
      <c r="B7" s="17">
        <v>58</v>
      </c>
    </row>
    <row r="8" spans="1:2" x14ac:dyDescent="0.3">
      <c r="A8" s="14" t="s">
        <v>77</v>
      </c>
      <c r="B8" s="17">
        <v>99</v>
      </c>
    </row>
    <row r="9" spans="1:2" x14ac:dyDescent="0.3">
      <c r="A9" s="15" t="s">
        <v>1566</v>
      </c>
      <c r="B9" s="18">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EB970-B4D8-40FD-A0D8-0F451C086358}">
  <dimension ref="A3:E13"/>
  <sheetViews>
    <sheetView workbookViewId="0">
      <selection activeCell="D4" sqref="D4:E12"/>
    </sheetView>
  </sheetViews>
  <sheetFormatPr defaultRowHeight="15.6" x14ac:dyDescent="0.3"/>
  <cols>
    <col min="1" max="1" width="23.296875" bestFit="1" customWidth="1"/>
    <col min="2" max="2" width="22.796875" bestFit="1" customWidth="1"/>
    <col min="4" max="4" width="23.09765625" customWidth="1"/>
  </cols>
  <sheetData>
    <row r="3" spans="1:5" x14ac:dyDescent="0.3">
      <c r="A3" s="12" t="s">
        <v>1565</v>
      </c>
      <c r="B3" s="9" t="s">
        <v>1555</v>
      </c>
      <c r="D3" t="s">
        <v>1568</v>
      </c>
      <c r="E3" t="s">
        <v>0</v>
      </c>
    </row>
    <row r="4" spans="1:5" x14ac:dyDescent="0.3">
      <c r="A4" s="13" t="s">
        <v>83</v>
      </c>
      <c r="B4" s="9">
        <v>9</v>
      </c>
      <c r="D4" t="str">
        <f>A4</f>
        <v>Healthcare Representative</v>
      </c>
      <c r="E4">
        <f>GETPIVOTDATA("CF_attrition count",$A$3,"Job Role",A4)</f>
        <v>9</v>
      </c>
    </row>
    <row r="5" spans="1:5" x14ac:dyDescent="0.3">
      <c r="A5" s="14" t="s">
        <v>163</v>
      </c>
      <c r="B5" s="17">
        <v>12</v>
      </c>
      <c r="D5" t="str">
        <f t="shared" ref="D5:D12" si="0">A5</f>
        <v>Human Resources</v>
      </c>
      <c r="E5">
        <f t="shared" ref="E5:E12" si="1">GETPIVOTDATA("CF_attrition count",$A$3,"Job Role",A5)</f>
        <v>12</v>
      </c>
    </row>
    <row r="6" spans="1:5" x14ac:dyDescent="0.3">
      <c r="A6" s="14" t="s">
        <v>68</v>
      </c>
      <c r="B6" s="17">
        <v>62</v>
      </c>
      <c r="D6" t="str">
        <f t="shared" si="0"/>
        <v>Laboratory Technician</v>
      </c>
      <c r="E6">
        <f t="shared" si="1"/>
        <v>62</v>
      </c>
    </row>
    <row r="7" spans="1:5" x14ac:dyDescent="0.3">
      <c r="A7" s="14" t="s">
        <v>95</v>
      </c>
      <c r="B7" s="17">
        <v>5</v>
      </c>
      <c r="D7" t="str">
        <f t="shared" si="0"/>
        <v>Manager</v>
      </c>
      <c r="E7">
        <f t="shared" si="1"/>
        <v>5</v>
      </c>
    </row>
    <row r="8" spans="1:5" x14ac:dyDescent="0.3">
      <c r="A8" s="14" t="s">
        <v>81</v>
      </c>
      <c r="B8" s="17">
        <v>10</v>
      </c>
      <c r="D8" t="str">
        <f t="shared" si="0"/>
        <v>Manufacturing Director</v>
      </c>
      <c r="E8">
        <f t="shared" si="1"/>
        <v>10</v>
      </c>
    </row>
    <row r="9" spans="1:5" x14ac:dyDescent="0.3">
      <c r="A9" s="14" t="s">
        <v>101</v>
      </c>
      <c r="B9" s="17">
        <v>2</v>
      </c>
      <c r="D9" t="str">
        <f t="shared" si="0"/>
        <v>Research Director</v>
      </c>
      <c r="E9">
        <f t="shared" si="1"/>
        <v>2</v>
      </c>
    </row>
    <row r="10" spans="1:5" x14ac:dyDescent="0.3">
      <c r="A10" s="14" t="s">
        <v>63</v>
      </c>
      <c r="B10" s="17">
        <v>47</v>
      </c>
      <c r="D10" t="str">
        <f t="shared" si="0"/>
        <v>Research Scientist</v>
      </c>
      <c r="E10">
        <f t="shared" si="1"/>
        <v>47</v>
      </c>
    </row>
    <row r="11" spans="1:5" x14ac:dyDescent="0.3">
      <c r="A11" s="14" t="s">
        <v>52</v>
      </c>
      <c r="B11" s="17">
        <v>57</v>
      </c>
      <c r="D11" t="str">
        <f t="shared" si="0"/>
        <v>Sales Executive</v>
      </c>
      <c r="E11">
        <f t="shared" si="1"/>
        <v>57</v>
      </c>
    </row>
    <row r="12" spans="1:5" x14ac:dyDescent="0.3">
      <c r="A12" s="14" t="s">
        <v>99</v>
      </c>
      <c r="B12" s="17">
        <v>33</v>
      </c>
      <c r="D12" t="str">
        <f t="shared" si="0"/>
        <v>Sales Representative</v>
      </c>
      <c r="E12">
        <f t="shared" si="1"/>
        <v>33</v>
      </c>
    </row>
    <row r="13" spans="1:5" x14ac:dyDescent="0.3">
      <c r="A13" s="15" t="s">
        <v>1566</v>
      </c>
      <c r="B13" s="18">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72AE3-4784-4E74-847D-1A1D96445094}">
  <dimension ref="A3:B7"/>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2" t="s">
        <v>1565</v>
      </c>
      <c r="B3" s="9" t="s">
        <v>1555</v>
      </c>
    </row>
    <row r="4" spans="1:2" x14ac:dyDescent="0.3">
      <c r="A4" s="13" t="s">
        <v>161</v>
      </c>
      <c r="B4" s="19">
        <v>5.0632911392405063E-2</v>
      </c>
    </row>
    <row r="5" spans="1:2" x14ac:dyDescent="0.3">
      <c r="A5" s="14" t="s">
        <v>60</v>
      </c>
      <c r="B5" s="20">
        <v>0.56118143459915615</v>
      </c>
    </row>
    <row r="6" spans="1:2" x14ac:dyDescent="0.3">
      <c r="A6" s="14" t="s">
        <v>48</v>
      </c>
      <c r="B6" s="20">
        <v>0.3881856540084388</v>
      </c>
    </row>
    <row r="7" spans="1:2" x14ac:dyDescent="0.3">
      <c r="A7" s="15" t="s">
        <v>1566</v>
      </c>
      <c r="B7" s="2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3593-F1B5-42FF-927D-DA0CCF2AB79D}">
  <dimension ref="A3:B9"/>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2" t="s">
        <v>1565</v>
      </c>
      <c r="B3" s="9" t="s">
        <v>1555</v>
      </c>
    </row>
    <row r="4" spans="1:2" x14ac:dyDescent="0.3">
      <c r="A4" s="13" t="s">
        <v>69</v>
      </c>
      <c r="B4" s="9">
        <v>112</v>
      </c>
    </row>
    <row r="5" spans="1:2" x14ac:dyDescent="0.3">
      <c r="A5" s="14" t="s">
        <v>46</v>
      </c>
      <c r="B5" s="17">
        <v>51</v>
      </c>
    </row>
    <row r="6" spans="1:2" x14ac:dyDescent="0.3">
      <c r="A6" s="14" t="s">
        <v>92</v>
      </c>
      <c r="B6" s="17">
        <v>38</v>
      </c>
    </row>
    <row r="7" spans="1:2" x14ac:dyDescent="0.3">
      <c r="A7" s="14" t="s">
        <v>58</v>
      </c>
      <c r="B7" s="17">
        <v>25</v>
      </c>
    </row>
    <row r="8" spans="1:2" x14ac:dyDescent="0.3">
      <c r="A8" s="14" t="s">
        <v>75</v>
      </c>
      <c r="B8" s="17">
        <v>11</v>
      </c>
    </row>
    <row r="9" spans="1:2" x14ac:dyDescent="0.3">
      <c r="A9" s="15" t="s">
        <v>1566</v>
      </c>
      <c r="B9" s="1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73C93-1857-4AF0-A6B5-22358A6A0BB3}">
  <dimension ref="A3:E7"/>
  <sheetViews>
    <sheetView workbookViewId="0">
      <selection activeCell="B4" sqref="B4"/>
    </sheetView>
  </sheetViews>
  <sheetFormatPr defaultRowHeight="15.6" x14ac:dyDescent="0.3"/>
  <cols>
    <col min="1" max="1" width="12.19921875" bestFit="1" customWidth="1"/>
    <col min="2" max="2" width="16" bestFit="1" customWidth="1"/>
    <col min="4" max="4" width="13.19921875" customWidth="1"/>
  </cols>
  <sheetData>
    <row r="3" spans="1:5" x14ac:dyDescent="0.3">
      <c r="A3" s="12" t="s">
        <v>1565</v>
      </c>
      <c r="B3" s="9" t="s">
        <v>1569</v>
      </c>
      <c r="D3" t="s">
        <v>1570</v>
      </c>
      <c r="E3" t="s">
        <v>0</v>
      </c>
    </row>
    <row r="4" spans="1:5" x14ac:dyDescent="0.3">
      <c r="A4" s="13" t="s">
        <v>79</v>
      </c>
      <c r="B4" s="9">
        <v>327</v>
      </c>
      <c r="D4" t="str">
        <f>A4</f>
        <v>Divorced</v>
      </c>
      <c r="E4">
        <f>GETPIVOTDATA("Attrition",$A$3,"Marital Status",A4)</f>
        <v>327</v>
      </c>
    </row>
    <row r="5" spans="1:5" x14ac:dyDescent="0.3">
      <c r="A5" s="14" t="s">
        <v>53</v>
      </c>
      <c r="B5" s="17">
        <v>470</v>
      </c>
      <c r="D5" t="str">
        <f>A5</f>
        <v>Single</v>
      </c>
      <c r="E5">
        <f>GETPIVOTDATA("Attrition",$A$3,"Marital Status",A5)</f>
        <v>470</v>
      </c>
    </row>
    <row r="6" spans="1:5" x14ac:dyDescent="0.3">
      <c r="A6" s="14" t="s">
        <v>64</v>
      </c>
      <c r="B6" s="17">
        <v>673</v>
      </c>
      <c r="D6" t="str">
        <f>A6</f>
        <v>Married</v>
      </c>
      <c r="E6">
        <f>GETPIVOTDATA("Attrition",$A$3,"Marital Status",A6)</f>
        <v>673</v>
      </c>
    </row>
    <row r="7" spans="1:5" x14ac:dyDescent="0.3">
      <c r="A7" s="15" t="s">
        <v>1566</v>
      </c>
      <c r="B7" s="18">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310"/>
  <sheetViews>
    <sheetView showGridLines="0" tabSelected="1" zoomScale="60" zoomScaleNormal="60" workbookViewId="0">
      <selection activeCell="AD34" sqref="AD34"/>
    </sheetView>
  </sheetViews>
  <sheetFormatPr defaultColWidth="11.19921875" defaultRowHeight="15" customHeight="1" x14ac:dyDescent="0.3"/>
  <cols>
    <col min="1" max="26" width="8.59765625" customWidth="1"/>
  </cols>
  <sheetData>
    <row r="1" spans="1:52" ht="15.6"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spans="1:52" ht="15.6"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row>
    <row r="3" spans="1:52" ht="15.6"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row>
    <row r="4" spans="1:52" ht="15.6"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row>
    <row r="5" spans="1:52" ht="15.6"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row>
    <row r="6" spans="1:52" ht="15.6"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row>
    <row r="7" spans="1:52" ht="15.6"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row>
    <row r="8" spans="1:52" ht="15.6"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row>
    <row r="9" spans="1:52" ht="15.6"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row>
    <row r="10" spans="1:52" ht="15.6"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row>
    <row r="11" spans="1:52" ht="15.6"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row>
    <row r="12" spans="1:52" ht="15.6"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row>
    <row r="13" spans="1:52" ht="15.6"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row>
    <row r="14" spans="1:52" ht="13.8" customHeight="1"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row>
    <row r="15" spans="1:52" ht="15.6"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row>
    <row r="16" spans="1:52" ht="15.6"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row>
    <row r="17" spans="1:52" ht="15.6"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row>
    <row r="18" spans="1:52" ht="15.6"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row>
    <row r="19" spans="1:52" ht="15.6"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row>
    <row r="20" spans="1:52" ht="15.6"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row>
    <row r="21" spans="1:52" ht="15" customHeight="1"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row>
    <row r="22" spans="1:52" ht="15" customHeight="1"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row>
    <row r="23" spans="1:52" ht="15" customHeight="1"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row>
    <row r="24" spans="1:52" ht="15" customHeight="1"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row>
    <row r="25" spans="1:52" ht="15" customHeight="1"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row>
    <row r="26" spans="1:52" ht="15" customHeight="1"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row>
    <row r="27" spans="1:52" ht="15" customHeight="1"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row>
    <row r="28" spans="1:52" ht="15" customHeight="1"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row>
    <row r="29" spans="1:52" ht="15" customHeight="1"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row>
    <row r="30" spans="1:52" ht="15" customHeight="1"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row>
    <row r="31" spans="1:52" ht="15" customHeight="1"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row>
    <row r="32" spans="1:52" ht="15" customHeight="1"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row>
    <row r="33" spans="1:52" ht="15" customHeight="1"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row>
    <row r="34" spans="1:52" ht="15" customHeight="1"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row>
    <row r="35" spans="1:52" ht="15" customHeight="1"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row>
    <row r="36" spans="1:52" ht="15" customHeight="1"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row>
    <row r="37" spans="1:52" ht="15" customHeight="1"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row>
    <row r="38" spans="1:52" ht="15" customHeight="1"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row>
    <row r="39" spans="1:52" ht="15" customHeight="1"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row>
    <row r="40" spans="1:52" ht="15" customHeight="1"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row>
    <row r="41" spans="1:52" ht="15" customHeight="1"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row>
    <row r="42" spans="1:52" ht="15" customHeight="1"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row>
    <row r="43" spans="1:52" ht="15" customHeight="1"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row>
    <row r="44" spans="1:52" ht="15" customHeight="1"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row>
    <row r="45" spans="1:52" ht="15" customHeight="1"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row>
    <row r="46" spans="1:52" ht="15" customHeight="1"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row>
    <row r="47" spans="1:52" ht="15" customHeight="1"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row>
    <row r="48" spans="1:52" ht="15" customHeight="1"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row>
    <row r="49" spans="1:52" ht="15" customHeigh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row>
    <row r="50" spans="1:52" ht="15" customHeight="1"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row>
    <row r="51" spans="1:52" ht="15" customHeight="1"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row>
    <row r="52" spans="1:52" ht="15" customHeight="1"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row>
    <row r="53" spans="1:52" ht="15" customHeight="1"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row>
    <row r="54" spans="1:52" ht="15" customHeight="1"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row>
    <row r="55" spans="1:52" ht="15" customHeight="1"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row>
    <row r="56" spans="1:52" ht="15" customHeight="1"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row>
    <row r="57" spans="1:52" ht="15" customHeight="1"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row>
    <row r="58" spans="1:52" ht="15" customHeight="1"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row>
    <row r="59" spans="1:52" ht="15" customHeight="1"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row>
    <row r="60" spans="1:52" ht="15" customHeight="1"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row>
    <row r="61" spans="1:52" ht="15" customHeight="1"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row>
    <row r="62" spans="1:52" ht="15" customHeight="1"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row>
    <row r="63" spans="1:52" ht="15" customHeight="1"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row>
    <row r="64" spans="1:52" ht="15" customHeight="1"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row>
    <row r="65" spans="1:52" ht="15" customHeight="1"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row>
    <row r="66" spans="1:52" ht="15" customHeight="1"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row>
    <row r="67" spans="1:52" ht="15" customHeight="1"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row>
    <row r="68" spans="1:52" ht="15" customHeight="1"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row>
    <row r="69" spans="1:52" ht="15" customHeight="1"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row>
    <row r="70" spans="1:52" ht="15" customHeight="1"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row>
    <row r="71" spans="1:52" ht="15" customHeight="1"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row>
    <row r="72" spans="1:52" ht="15" customHeight="1"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row>
    <row r="73" spans="1:52" ht="15" customHeight="1"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row>
    <row r="74" spans="1:52" ht="15" customHeight="1"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row>
    <row r="75" spans="1:52" ht="15" customHeight="1"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row>
    <row r="76" spans="1:52" ht="15" customHeight="1"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row>
    <row r="77" spans="1:52" ht="15" customHeight="1"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row>
    <row r="78" spans="1:52" ht="15" customHeight="1"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row>
    <row r="79" spans="1:52" ht="15" customHeight="1"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row>
    <row r="80" spans="1:52" ht="15" customHeight="1"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row>
    <row r="81" spans="1:52" ht="15" customHeight="1"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row>
    <row r="82" spans="1:52" ht="15" customHeight="1"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row>
    <row r="83" spans="1:52" ht="15" customHeight="1"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row>
    <row r="84" spans="1:52" ht="15" customHeight="1"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row>
    <row r="85" spans="1:52" ht="15" customHeight="1"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row>
    <row r="86" spans="1:52" ht="15" customHeight="1"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row>
    <row r="87" spans="1:52" ht="15" customHeight="1"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row>
    <row r="88" spans="1:52" ht="15" customHeight="1" x14ac:dyDescent="0.3">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row>
    <row r="89" spans="1:52" ht="15" customHeight="1" x14ac:dyDescent="0.3">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row>
    <row r="90" spans="1:52" ht="15" customHeight="1" x14ac:dyDescent="0.3">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row>
    <row r="91" spans="1:52" ht="15" customHeight="1" x14ac:dyDescent="0.3">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row>
    <row r="92" spans="1:52" ht="15" customHeight="1" x14ac:dyDescent="0.3">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row>
    <row r="93" spans="1:52" ht="15" customHeight="1" x14ac:dyDescent="0.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row>
    <row r="94" spans="1:52" ht="15"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row>
    <row r="95" spans="1:52" ht="15" customHeight="1" x14ac:dyDescent="0.3">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row>
    <row r="96" spans="1:52" ht="15" customHeight="1" x14ac:dyDescent="0.3">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row>
    <row r="97" spans="1:52" ht="15" customHeight="1" x14ac:dyDescent="0.3">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row>
    <row r="98" spans="1:52" ht="15" customHeight="1" x14ac:dyDescent="0.3">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row>
    <row r="99" spans="1:52" ht="15" customHeight="1" x14ac:dyDescent="0.3">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row>
    <row r="100" spans="1:52" ht="15" customHeight="1"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row>
    <row r="101" spans="1:52" ht="15" customHeight="1"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row>
    <row r="102" spans="1:52" ht="15" customHeight="1"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row>
    <row r="103" spans="1:52" ht="15" customHeight="1"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row>
    <row r="104" spans="1:52" ht="15" customHeight="1"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row>
    <row r="105" spans="1:52" ht="15" customHeight="1"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row>
    <row r="106" spans="1:52" ht="15" customHeight="1"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row>
    <row r="107" spans="1:52" ht="15" customHeight="1"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row>
    <row r="108" spans="1:52" ht="15" customHeight="1"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row>
    <row r="109" spans="1:52" ht="15" customHeight="1"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row>
    <row r="110" spans="1:52" ht="15" customHeight="1"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row>
    <row r="111" spans="1:52" ht="15" customHeight="1"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row>
    <row r="112" spans="1:52" ht="15" customHeight="1"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row>
    <row r="113" spans="1:52" ht="15" customHeight="1"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row>
    <row r="114" spans="1:52" ht="15" customHeight="1"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row>
    <row r="115" spans="1:52" ht="15" customHeight="1"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row>
    <row r="116" spans="1:52" ht="15" customHeight="1"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row>
    <row r="117" spans="1:52" ht="15" customHeight="1"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row>
    <row r="118" spans="1:52" ht="15" customHeight="1"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row>
    <row r="119" spans="1:52" ht="15" customHeight="1"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row>
    <row r="120" spans="1:52" ht="15" customHeight="1"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row>
    <row r="121" spans="1:52" ht="15" customHeight="1"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row>
    <row r="122" spans="1:52" ht="15" customHeight="1"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row>
    <row r="123" spans="1:52" ht="15" customHeight="1"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row>
    <row r="124" spans="1:52" ht="15" customHeight="1"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row>
    <row r="125" spans="1:52" ht="15" customHeight="1"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row>
    <row r="126" spans="1:52" ht="15" customHeight="1"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row>
    <row r="127" spans="1:52" ht="15" customHeight="1"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row>
    <row r="128" spans="1:52" ht="15" customHeight="1"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row>
    <row r="129" spans="1:52" ht="15" customHeight="1"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row>
    <row r="130" spans="1:52" ht="15" customHeight="1"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row>
    <row r="131" spans="1:52" ht="15" customHeight="1"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row>
    <row r="132" spans="1:52" ht="15" customHeight="1"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row>
    <row r="133" spans="1:52" ht="15" customHeight="1"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row>
    <row r="134" spans="1:52" ht="15" customHeight="1"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row>
    <row r="135" spans="1:52" ht="15" customHeight="1"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row>
    <row r="136" spans="1:52" ht="15" customHeight="1"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row>
    <row r="137" spans="1:52" ht="15" customHeight="1"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row>
    <row r="138" spans="1:52" ht="15" customHeight="1"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row>
    <row r="139" spans="1:52" ht="15" customHeight="1"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row>
    <row r="140" spans="1:52" ht="15" customHeight="1"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row>
    <row r="141" spans="1:52" ht="15" customHeight="1"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row>
    <row r="142" spans="1:52" ht="15" customHeight="1"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row>
    <row r="143" spans="1:52" ht="15" customHeight="1"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row>
    <row r="144" spans="1:52" ht="15" customHeight="1"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row>
    <row r="145" spans="1:52" ht="15" customHeight="1"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row>
    <row r="146" spans="1:52" ht="15" customHeight="1"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row>
    <row r="147" spans="1:52" ht="15" customHeight="1"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row>
    <row r="148" spans="1:52" ht="15" customHeight="1"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row>
    <row r="149" spans="1:52" ht="15" customHeight="1"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row>
    <row r="150" spans="1:52" ht="15" customHeight="1"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row>
    <row r="151" spans="1:52" ht="15" customHeight="1"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row>
    <row r="152" spans="1:52" ht="15" customHeight="1"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row>
    <row r="153" spans="1:52" ht="15" customHeight="1"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row>
    <row r="154" spans="1:52" ht="15" customHeight="1"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row>
    <row r="155" spans="1:52" ht="15" customHeight="1"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row>
    <row r="156" spans="1:52" ht="15" customHeight="1"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row>
    <row r="157" spans="1:52" ht="15" customHeight="1"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row>
    <row r="158" spans="1:52" ht="15" customHeight="1"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row>
    <row r="159" spans="1:52" ht="15" customHeight="1"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row>
    <row r="160" spans="1:52" ht="15" customHeight="1"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row>
    <row r="161" spans="1:52" ht="15" customHeight="1"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row>
    <row r="162" spans="1:52" ht="15" customHeight="1"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row>
    <row r="163" spans="1:52" ht="15" customHeight="1"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row>
    <row r="164" spans="1:52" ht="15" customHeight="1"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row>
    <row r="165" spans="1:52" ht="15" customHeight="1"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row>
    <row r="166" spans="1:52" ht="15" customHeight="1"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row>
    <row r="167" spans="1:52" ht="15" customHeight="1"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row>
    <row r="168" spans="1:52" ht="15" customHeight="1"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row>
    <row r="169" spans="1:52" ht="15" customHeight="1"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row>
    <row r="170" spans="1:52" ht="15" customHeight="1"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row>
    <row r="171" spans="1:52" ht="15" customHeight="1"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row>
    <row r="172" spans="1:52" ht="15" customHeight="1"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row>
    <row r="173" spans="1:52" ht="15" customHeight="1"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row>
    <row r="174" spans="1:52" ht="15" customHeight="1"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row>
    <row r="175" spans="1:52" ht="15" customHeight="1"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row>
    <row r="176" spans="1:52" ht="15" customHeight="1"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row>
    <row r="177" spans="1:52" ht="15" customHeight="1"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row>
    <row r="178" spans="1:52" ht="15" customHeight="1"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row>
    <row r="179" spans="1:52" ht="15" customHeight="1"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row>
    <row r="180" spans="1:52" ht="15" customHeight="1"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row>
    <row r="181" spans="1:52" ht="15" customHeight="1"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row>
    <row r="182" spans="1:52" ht="15" customHeight="1"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row>
    <row r="183" spans="1:52" ht="15" customHeight="1"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row>
    <row r="184" spans="1:52" ht="15" customHeight="1"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row>
    <row r="185" spans="1:52" ht="15" customHeight="1"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row>
    <row r="186" spans="1:52" ht="15" customHeight="1"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row>
    <row r="187" spans="1:52" ht="15" customHeight="1"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row>
    <row r="188" spans="1:52" ht="15" customHeight="1"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row>
    <row r="189" spans="1:52" ht="15" customHeight="1"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row>
    <row r="190" spans="1:52" ht="15" customHeight="1"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row>
    <row r="191" spans="1:52" ht="15" customHeight="1"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row>
    <row r="192" spans="1:52" ht="15" customHeight="1"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row>
    <row r="193" spans="1:52" ht="15" customHeight="1"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row>
    <row r="194" spans="1:52" ht="15" customHeight="1"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row>
    <row r="195" spans="1:52" ht="15" customHeight="1"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row>
    <row r="196" spans="1:52" ht="15" customHeight="1"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row>
    <row r="197" spans="1:52" ht="15" customHeight="1"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row>
    <row r="198" spans="1:52" ht="15" customHeight="1"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row>
    <row r="199" spans="1:52" ht="15" customHeight="1"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row>
    <row r="200" spans="1:52" ht="15" customHeight="1"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row>
    <row r="201" spans="1:52" ht="15" customHeight="1"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row>
    <row r="202" spans="1:52" ht="15" customHeight="1"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row>
    <row r="203" spans="1:52" ht="15" customHeight="1"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row>
    <row r="204" spans="1:52" ht="15" customHeight="1"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row>
    <row r="205" spans="1:52" ht="15" customHeight="1"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row>
    <row r="206" spans="1:52" ht="15" customHeight="1"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row>
    <row r="207" spans="1:52" ht="15" customHeight="1"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row>
    <row r="208" spans="1:52" ht="15" customHeight="1"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row>
    <row r="209" spans="1:52" ht="15" customHeight="1"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row>
    <row r="210" spans="1:52" ht="15" customHeight="1"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row>
    <row r="211" spans="1:52" ht="15" customHeight="1"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row>
    <row r="212" spans="1:52" ht="15" customHeight="1"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row>
    <row r="213" spans="1:52" ht="15" customHeight="1"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row>
    <row r="214" spans="1:52" ht="15" customHeight="1"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row>
    <row r="215" spans="1:52" ht="15" customHeight="1"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row>
    <row r="216" spans="1:52" ht="15" customHeight="1"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row>
    <row r="217" spans="1:52" ht="15" customHeight="1"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row>
    <row r="218" spans="1:52" ht="15" customHeight="1"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row>
    <row r="219" spans="1:52" ht="15" customHeight="1"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row>
    <row r="220" spans="1:52" ht="15" customHeight="1"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row>
    <row r="221" spans="1:52" ht="15" customHeight="1"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row>
    <row r="222" spans="1:52" ht="15" customHeight="1"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row>
    <row r="223" spans="1:52" ht="15" customHeight="1"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row>
    <row r="224" spans="1:52" ht="15" customHeight="1"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row>
    <row r="225" spans="1:52" ht="15" customHeight="1"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row>
    <row r="226" spans="1:52" ht="15" customHeight="1"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row>
    <row r="227" spans="1:52" ht="15" customHeight="1"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row>
    <row r="228" spans="1:52" ht="15" customHeight="1"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row>
    <row r="229" spans="1:52" ht="15" customHeight="1"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row>
    <row r="230" spans="1:52" ht="15" customHeight="1"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row>
    <row r="231" spans="1:52" ht="15" customHeight="1"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row>
    <row r="232" spans="1:52" ht="15" customHeight="1"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row>
    <row r="233" spans="1:52" ht="15" customHeight="1"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row>
    <row r="234" spans="1:52" ht="15" customHeight="1"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row>
    <row r="235" spans="1:52" ht="15" customHeight="1"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row>
    <row r="236" spans="1:52" ht="15" customHeight="1"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row>
    <row r="237" spans="1:52" ht="15" customHeight="1"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row>
    <row r="238" spans="1:52" ht="15" customHeight="1"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row>
    <row r="239" spans="1:52" ht="15" customHeight="1"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row>
    <row r="240" spans="1:52" ht="15" customHeight="1"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row>
    <row r="241" spans="1:52" ht="15" customHeight="1"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row>
    <row r="242" spans="1:52" ht="15" customHeight="1"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row>
    <row r="243" spans="1:52" ht="15" customHeight="1"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row>
    <row r="244" spans="1:52" ht="15" customHeight="1"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row>
    <row r="245" spans="1:52" ht="15" customHeight="1"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row>
    <row r="246" spans="1:52" ht="15" customHeight="1"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row>
    <row r="247" spans="1:52" ht="15" customHeight="1"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row>
    <row r="248" spans="1:52" ht="15" customHeight="1"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row>
    <row r="249" spans="1:52" ht="15" customHeight="1"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row>
    <row r="250" spans="1:52" ht="15" customHeight="1"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row>
    <row r="251" spans="1:52" ht="15" customHeight="1"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row>
    <row r="252" spans="1:52" ht="15" customHeight="1"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row>
    <row r="253" spans="1:52" ht="15" customHeight="1"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row>
    <row r="254" spans="1:52" ht="15" customHeight="1"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row>
    <row r="255" spans="1:52" ht="15" customHeight="1"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row>
    <row r="256" spans="1:52" ht="15" customHeight="1"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row>
    <row r="257" spans="1:52" ht="15" customHeight="1"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row>
    <row r="258" spans="1:52" ht="15" customHeight="1"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row>
    <row r="259" spans="1:52" ht="15" customHeight="1"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row>
    <row r="260" spans="1:52" ht="15" customHeight="1"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row>
    <row r="261" spans="1:52" ht="15" customHeight="1"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row>
    <row r="262" spans="1:52" ht="15" customHeight="1"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row>
    <row r="263" spans="1:52" ht="15" customHeight="1"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row>
    <row r="264" spans="1:52" ht="15" customHeight="1"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row>
    <row r="265" spans="1:52" ht="15" customHeight="1"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row>
    <row r="266" spans="1:52" ht="15" customHeight="1"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row>
    <row r="267" spans="1:52" ht="15" customHeight="1"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row>
    <row r="268" spans="1:52" ht="15" customHeight="1"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row>
    <row r="269" spans="1:52" ht="15" customHeight="1"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row>
    <row r="270" spans="1:52" ht="15" customHeight="1"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row>
    <row r="271" spans="1:52" ht="15" customHeight="1"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row>
    <row r="272" spans="1:52" ht="15" customHeight="1"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row>
    <row r="273" spans="1:52" ht="15" customHeight="1"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row>
    <row r="274" spans="1:52" ht="15" customHeight="1"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row>
    <row r="275" spans="1:52" ht="15" customHeight="1"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row>
    <row r="276" spans="1:52" ht="15" customHeight="1"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row>
    <row r="277" spans="1:52" ht="15" customHeight="1"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row>
    <row r="278" spans="1:52" ht="15" customHeight="1"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row>
    <row r="279" spans="1:52" ht="15" customHeight="1"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row>
    <row r="280" spans="1:52" ht="15" customHeight="1"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row>
    <row r="281" spans="1:52" ht="15" customHeight="1"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row>
    <row r="282" spans="1:52" ht="15" customHeight="1"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row>
    <row r="283" spans="1:52" ht="15" customHeight="1"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row>
    <row r="284" spans="1:52" ht="15" customHeight="1"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row>
    <row r="285" spans="1:52" ht="15" customHeight="1"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row>
    <row r="286" spans="1:52" ht="15" customHeight="1"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row>
    <row r="287" spans="1:52" ht="15" customHeight="1"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row>
    <row r="288" spans="1:52" ht="15" customHeight="1"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row>
    <row r="289" spans="1:52" ht="15" customHeight="1"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row>
    <row r="290" spans="1:52" ht="15" customHeight="1"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row>
    <row r="291" spans="1:52" ht="15" customHeight="1"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row>
    <row r="292" spans="1:52" ht="15" customHeight="1"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row>
    <row r="293" spans="1:52" ht="15" customHeight="1"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row>
    <row r="294" spans="1:52" ht="15" customHeight="1"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row>
    <row r="295" spans="1:52" ht="15" customHeight="1"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row>
    <row r="296" spans="1:52" ht="15" customHeight="1"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row>
    <row r="297" spans="1:52" ht="15" customHeight="1"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row>
    <row r="298" spans="1:52" ht="15" customHeight="1"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row>
    <row r="299" spans="1:52" ht="15" customHeight="1"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row>
    <row r="300" spans="1:52" ht="15" customHeight="1"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row>
    <row r="301" spans="1:52" ht="15" customHeight="1"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row>
    <row r="302" spans="1:52" ht="15" customHeight="1"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row>
    <row r="303" spans="1:52" ht="15" customHeight="1"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row>
    <row r="304" spans="1:52" ht="15" customHeight="1"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row>
    <row r="305" spans="1:52" ht="15" customHeight="1"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row>
    <row r="306" spans="1:52" ht="15" customHeight="1"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row>
    <row r="307" spans="1:52" ht="15" customHeight="1"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row>
    <row r="308" spans="1:52" ht="15" customHeight="1"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row>
    <row r="309" spans="1:52" ht="15" customHeight="1"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row>
    <row r="310" spans="1:52" ht="15" customHeight="1"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Education by Attrition</vt:lpstr>
      <vt:lpstr>Attrition by Job</vt:lpstr>
      <vt:lpstr>Department wise Attrition</vt:lpstr>
      <vt:lpstr>Attrition by Age group</vt:lpstr>
      <vt:lpstr>Maratial status</vt:lpstr>
      <vt:lpstr>Data</vt:lpstr>
      <vt:lpstr>Images</vt:lpstr>
      <vt:lpstr>Background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Suman Saurav</cp:lastModifiedBy>
  <dcterms:created xsi:type="dcterms:W3CDTF">2022-12-29T16:02:46Z</dcterms:created>
  <dcterms:modified xsi:type="dcterms:W3CDTF">2026-02-28T10:25:25Z</dcterms:modified>
</cp:coreProperties>
</file>